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13_ncr:1_{A079CFA1-25D2-4052-A0F4-35500A9A9DC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<sst xmlns="http://schemas.openxmlformats.org/spreadsheetml/2006/main" count="2900" uniqueCount="951">
  <si>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</si>
  <si>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</si>
  <si>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</si>
  <si>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</si>
  <si>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</si>
  <si>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</si>
  <si>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</si>
  <si>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</si>
  <si>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</si>
  <si>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</si>
  <si>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</si>
  <si>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</si>
  <si>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</si>
  <si>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</si>
  <si>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</si>
  <si>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</si>
  <si>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</si>
  <si>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</si>
  <si>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</si>
  <si>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</si>
  <si>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</si>
  <si>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</si>
  <si>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</si>
  <si>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</si>
  <si>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</si>
  <si>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</si>
  <si>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</si>
  <si>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</si>
  <si>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</si>
  <si>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</si>
  <si>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</si>
  <si>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</si>
  <si>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</si>
  <si>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</si>
  <si>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</si>
  <si>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</si>
  <si>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</si>
  <si>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</si>
  <si>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</si>
  <si>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</si>
  <si>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</si>
  <si>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</si>
  <si>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</si>
  <si>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</si>
  <si>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</si>
  <si>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</si>
  <si>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</si>
  <si>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</si>
  <si>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</si>
  <si>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</si>
  <si>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</si>
  <si>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</si>
  <si>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</si>
  <si>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</si>
  <si>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</si>
  <si>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</si>
  <si>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</si>
  <si>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</si>
  <si>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</si>
  <si>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</si>
  <si>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</si>
  <si>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</si>
  <si>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</si>
  <si>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</si>
  <si>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</si>
  <si>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</si>
  <si>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</si>
  <si>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</si>
  <si>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</si>
  <si>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</si>
  <si>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</si>
  <si>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</si>
  <si>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</si>
  <si>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</si>
  <si>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</si>
  <si>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</si>
  <si>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</si>
  <si>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</si>
  <si>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</si>
  <si>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</si>
  <si>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</si>
  <si>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</si>
  <si>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</si>
  <si>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</si>
  <si>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</si>
  <si>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</si>
  <si>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</si>
  <si>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</si>
  <si>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</si>
  <si>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</si>
  <si>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</si>
  <si>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</si>
  <si>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</si>
  <si>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</si>
  <si>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</si>
  <si>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</si>
  <si>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</si>
  <si>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</si>
  <si>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</si>
  <si>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</si>
  <si>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</si>
  <si>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</si>
  <si>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</si>
  <si>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</si>
  <si>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</si>
  <si>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</si>
  <si>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</si>
  <si>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</si>
  <si>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</si>
  <si>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</si>
  <si>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</si>
  <si>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</si>
  <si>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</si>
  <si>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</si>
  <si>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</si>
  <si>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</si>
  <si>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</si>
  <si>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</si>
  <si>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</si>
  <si>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</si>
  <si>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</si>
  <si>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</si>
  <si>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</si>
  <si>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</si>
  <si>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</si>
  <si>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</si>
  <si>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</si>
  <si>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</si>
  <si>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</si>
  <si>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</si>
  <si>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</si>
  <si>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</si>
  <si>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</si>
  <si>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</si>
  <si>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</si>
  <si>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</si>
  <si>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</si>
  <si>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</si>
  <si>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</si>
  <si>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</si>
  <si>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</si>
  <si>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</si>
  <si>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</si>
  <si>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</si>
  <si>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</si>
  <si>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</si>
  <si>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</si>
  <si>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</si>
  <si>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</si>
  <si>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</si>
  <si>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</si>
  <si>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</si>
  <si>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</si>
  <si>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</si>
  <si>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</si>
  <si>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</si>
  <si>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</si>
  <si>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</si>
  <si>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</si>
  <si>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</si>
  <si>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</si>
  <si>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</si>
  <si>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</si>
  <si>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</si>
  <si>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</si>
  <si>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</si>
  <si>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</si>
  <si>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</si>
  <si>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</si>
  <si>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</si>
  <si>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</si>
  <si>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</si>
  <si>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</si>
  <si>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</si>
  <si>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</si>
  <si>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</si>
  <si>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</si>
  <si>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</si>
  <si>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</si>
  <si>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</si>
  <si>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</si>
  <si>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</si>
  <si>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</si>
  <si>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</si>
  <si>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</si>
  <si>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</si>
  <si>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</si>
  <si>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</si>
  <si>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</si>
  <si>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</si>
  <si>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</si>
  <si>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</si>
  <si>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</si>
  <si>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</si>
  <si>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</si>
  <si>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</si>
  <si>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</si>
  <si>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</si>
  <si>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</si>
  <si>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</si>
  <si>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</si>
  <si>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</si>
  <si>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</si>
  <si>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</si>
  <si>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</si>
  <si>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</si>
  <si>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</si>
  <si>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</si>
  <si>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</si>
  <si>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</si>
  <si>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</si>
  <si>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</si>
  <si>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</si>
  <si>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</si>
  <si>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</si>
  <si>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</si>
  <si>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</si>
  <si>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</si>
  <si>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</si>
  <si>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</si>
  <si>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</si>
  <si>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</si>
  <si>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</si>
  <si>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</si>
  <si>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</si>
  <si>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</si>
  <si>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</si>
  <si>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</si>
  <si>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</si>
  <si>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</si>
  <si>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</si>
  <si>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</si>
  <si>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</si>
  <si>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</si>
  <si>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</si>
  <si>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</si>
  <si>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</si>
  <si>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</si>
  <si>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</si>
  <si>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</si>
  <si>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</si>
  <si>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</si>
  <si>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</si>
  <si>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</si>
  <si>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</si>
  <si>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</si>
  <si>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</si>
  <si>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</si>
  <si>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</si>
  <si>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</si>
  <si>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</si>
  <si>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</si>
  <si>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</si>
  <si>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</si>
  <si>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</si>
  <si>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</si>
  <si>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</si>
  <si>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</si>
  <si>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</si>
  <si>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</si>
  <si>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</si>
  <si>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</si>
  <si>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</si>
  <si>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</si>
  <si>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</si>
  <si>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</si>
  <si>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</si>
  <si>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</si>
  <si>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</si>
  <si>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</si>
  <si>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</si>
  <si>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</si>
  <si>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</si>
  <si>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</si>
  <si>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</si>
  <si>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</si>
  <si>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</si>
  <si>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</si>
  <si>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</si>
  <si>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</si>
  <si>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</si>
  <si>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</si>
  <si>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</si>
  <si>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</si>
  <si>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</si>
  <si>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</si>
  <si>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</si>
  <si>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</si>
  <si>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</si>
  <si>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</si>
  <si>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</si>
  <si>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</si>
  <si>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</si>
  <si>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</si>
  <si>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</si>
  <si>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</si>
  <si>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</si>
  <si>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</si>
  <si>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</si>
  <si>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</si>
  <si>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</si>
  <si>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</si>
  <si>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</si>
  <si>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</si>
  <si>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</si>
  <si>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</si>
  <si>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</si>
  <si>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</si>
  <si>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</si>
  <si>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</si>
  <si>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</si>
  <si>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</si>
  <si>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</si>
  <si>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</si>
  <si>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</si>
  <si>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</si>
  <si>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</si>
  <si>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</si>
  <si>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</si>
  <si>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</si>
  <si>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</si>
  <si>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</si>
  <si>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</si>
  <si>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</si>
  <si>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</si>
  <si>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</si>
  <si>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</si>
  <si>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</si>
  <si>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</si>
  <si>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</si>
  <si>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</si>
  <si>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</si>
  <si>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</si>
  <si>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</si>
  <si>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</si>
  <si>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</si>
  <si>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</si>
  <si>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</si>
  <si>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</si>
  <si>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</si>
  <si>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</si>
  <si>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</si>
  <si>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</si>
  <si>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</si>
  <si>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</si>
  <si>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</si>
  <si>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</si>
  <si>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</si>
  <si>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</si>
  <si>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</si>
  <si>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</si>
  <si>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</si>
  <si>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</si>
  <si>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</si>
  <si>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</si>
  <si>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</si>
  <si>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</si>
  <si>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</si>
  <si>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</si>
  <si>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</si>
  <si>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</si>
  <si>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</si>
  <si>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</si>
  <si>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</si>
  <si>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</si>
  <si>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</si>
  <si>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</si>
  <si>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</si>
  <si>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</si>
  <si>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</si>
  <si>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</si>
  <si>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</si>
  <si>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</si>
  <si>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</si>
  <si>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</si>
  <si>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</si>
  <si>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</si>
  <si>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</si>
  <si>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</si>
  <si>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</si>
  <si>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</si>
  <si>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</si>
  <si>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</si>
  <si>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</si>
  <si>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</si>
  <si>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</si>
  <si>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</si>
  <si>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</si>
  <si>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</si>
  <si>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</si>
  <si>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</si>
  <si>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</si>
  <si>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</si>
  <si>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</si>
  <si>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</si>
  <si>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</si>
  <si>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</si>
  <si>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</si>
  <si>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</si>
  <si>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</si>
  <si>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</si>
  <si>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</si>
  <si>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</si>
  <si>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</si>
  <si>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</si>
  <si>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</si>
  <si>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</si>
  <si>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</si>
  <si>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</si>
  <si>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</si>
  <si>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</si>
  <si>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</si>
  <si>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</si>
  <si>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</si>
  <si>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</si>
  <si>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</si>
  <si>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</si>
  <si>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</si>
  <si>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</si>
  <si>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</si>
  <si>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</si>
  <si>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</si>
  <si>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</si>
  <si>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</si>
  <si>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</si>
  <si>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</si>
  <si>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</si>
  <si>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</si>
  <si>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</si>
  <si>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</si>
  <si>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</si>
  <si>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</si>
  <si>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</si>
  <si>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</si>
  <si>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</si>
  <si>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</si>
  <si>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</si>
  <si>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</si>
  <si>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</si>
  <si>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</si>
  <si>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</si>
  <si>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</si>
  <si>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</si>
  <si>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</si>
  <si>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</si>
  <si>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</si>
  <si>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</si>
  <si>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</si>
  <si>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</si>
  <si>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</si>
  <si>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</si>
  <si>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</si>
  <si>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</si>
  <si>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</si>
  <si>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</si>
  <si>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</si>
  <si>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</si>
  <si>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</si>
  <si>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</si>
  <si>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</si>
  <si>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</si>
  <si>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</si>
  <si>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</si>
  <si>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</si>
  <si>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</si>
  <si>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</si>
  <si>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</si>
  <si>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</si>
  <si>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</si>
  <si>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</si>
  <si>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</si>
  <si>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</si>
  <si>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</si>
  <si>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</si>
  <si>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</si>
  <si>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</si>
  <si>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</si>
  <si>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</si>
  <si>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</si>
  <si>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</si>
  <si>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</si>
  <si>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</si>
  <si>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</si>
  <si>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</si>
  <si>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</si>
  <si>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</si>
  <si>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</si>
  <si>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</si>
  <si>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</si>
  <si>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</si>
  <si>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</si>
  <si>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</si>
  <si>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</si>
  <si>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</si>
  <si>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</si>
  <si>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</si>
  <si>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</si>
  <si>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</si>
  <si>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</si>
  <si>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</si>
  <si>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</si>
  <si>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</si>
  <si>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</si>
  <si>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</si>
  <si>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</si>
  <si>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</si>
  <si>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</si>
  <si>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</si>
  <si>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</si>
  <si>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</si>
  <si>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</si>
  <si>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</si>
  <si>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</si>
  <si>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</si>
  <si>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</si>
  <si>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</si>
  <si>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</si>
  <si>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</si>
  <si>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</si>
  <si>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</si>
  <si>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</si>
  <si>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</si>
  <si>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</si>
  <si>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</si>
  <si>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</si>
  <si>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</si>
  <si>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</si>
  <si>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</si>
  <si>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</si>
  <si>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</si>
  <si>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</si>
  <si>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</si>
  <si>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</si>
  <si>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</si>
  <si>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</si>
  <si>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</si>
  <si>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</si>
  <si>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</si>
  <si>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</si>
  <si>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</si>
  <si>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</si>
  <si>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</si>
  <si>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</si>
  <si>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</si>
  <si>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</si>
  <si>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</si>
  <si>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</si>
  <si>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</si>
  <si>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</si>
  <si>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</si>
  <si>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</si>
  <si>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</si>
  <si>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</si>
  <si>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</si>
  <si>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</si>
  <si>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</si>
  <si>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</si>
  <si>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</si>
  <si>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</si>
  <si>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</si>
  <si>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</si>
  <si>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</si>
  <si>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</si>
  <si>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</si>
  <si>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</si>
  <si>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</si>
  <si>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</si>
  <si>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</si>
  <si>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</si>
  <si>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</si>
  <si>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</si>
  <si>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</si>
  <si>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</si>
  <si>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</si>
  <si>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</si>
  <si>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</si>
  <si>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</si>
  <si>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</si>
  <si>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</si>
  <si>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</si>
  <si>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</si>
  <si>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</si>
  <si>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</si>
  <si>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</si>
  <si>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</si>
  <si>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</si>
  <si>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</si>
  <si>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</si>
  <si>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</si>
  <si>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</si>
  <si>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</si>
  <si>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</si>
  <si>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</si>
  <si>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</si>
  <si>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</si>
  <si>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</si>
  <si>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</si>
  <si>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</si>
  <si>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</si>
  <si>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</si>
  <si>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</si>
  <si>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</si>
  <si>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</si>
  <si>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</si>
  <si>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</si>
  <si>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</si>
  <si>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</si>
  <si>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</si>
  <si>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</si>
  <si>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</si>
  <si>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</si>
  <si>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</si>
  <si>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</si>
  <si>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</si>
  <si>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</si>
  <si>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</si>
  <si>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</si>
  <si>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</si>
  <si>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</si>
  <si>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</si>
  <si>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</si>
  <si>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</si>
  <si>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</si>
  <si>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</si>
  <si>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</si>
  <si>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</si>
  <si>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</si>
  <si>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</si>
  <si>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</si>
  <si>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</si>
  <si>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</si>
  <si>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</si>
  <si>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</si>
  <si>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</si>
  <si>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</si>
  <si>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</si>
  <si>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</si>
  <si>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</si>
  <si>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</si>
  <si>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</si>
  <si>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</si>
  <si>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</si>
  <si>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</si>
  <si>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</si>
  <si>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</si>
  <si>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</si>
  <si>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</si>
  <si>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</si>
  <si>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</si>
  <si>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</si>
  <si>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</si>
  <si>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</si>
  <si>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</si>
  <si>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</si>
  <si>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</si>
  <si>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</si>
  <si>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</si>
  <si>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</si>
  <si>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</si>
  <si>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</si>
  <si>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</si>
  <si>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</si>
  <si>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</si>
  <si>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</si>
  <si>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</si>
  <si>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</si>
  <si>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</si>
  <si>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</si>
  <si>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</si>
  <si>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</si>
  <si>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</si>
  <si>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</si>
  <si>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</si>
  <si>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</si>
  <si>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</si>
  <si>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</si>
  <si>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</si>
  <si>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</si>
  <si>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</si>
  <si>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</si>
  <si>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</si>
  <si>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</si>
  <si>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</si>
  <si>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</si>
  <si>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</si>
  <si>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</si>
  <si>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</si>
  <si>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</si>
  <si>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</si>
  <si>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</si>
  <si>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</si>
  <si>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</si>
  <si>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</si>
  <si>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</si>
  <si>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</si>
  <si>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</si>
  <si>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</si>
  <si>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</si>
  <si>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</si>
  <si>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</si>
  <si>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</si>
  <si>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</si>
  <si>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</si>
  <si>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</si>
  <si>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</si>
  <si>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</si>
  <si>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</si>
  <si>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</si>
  <si>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</si>
  <si>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</si>
  <si>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</si>
  <si>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</si>
  <si>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</si>
  <si>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</si>
  <si>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</si>
  <si>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</si>
  <si>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</si>
  <si>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</si>
  <si>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</si>
  <si>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</si>
  <si>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</si>
  <si>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</si>
  <si>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</si>
  <si>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</si>
  <si>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</si>
  <si>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</si>
  <si>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</si>
  <si>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</si>
  <si>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</si>
  <si>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</si>
  <si>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</si>
  <si>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</si>
  <si>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</si>
  <si>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</si>
  <si>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</si>
  <si>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</si>
  <si>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</si>
  <si>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</si>
  <si>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</si>
  <si>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</si>
  <si>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</si>
  <si>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</si>
  <si>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</si>
  <si>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</si>
  <si>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</si>
  <si>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</si>
  <si>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</si>
  <si>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</si>
  <si>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</si>
  <si>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</si>
  <si>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</si>
  <si>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</si>
  <si>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</si>
  <si>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</si>
  <si>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</si>
  <si>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</si>
  <si>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</si>
  <si>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</si>
  <si>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</si>
  <si>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</si>
  <si>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</si>
  <si>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</si>
  <si>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</si>
  <si>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</si>
  <si>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</si>
  <si>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</si>
  <si>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</si>
  <si>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</si>
  <si>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</si>
  <si>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</si>
  <si>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</si>
  <si>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</si>
  <si>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</si>
  <si>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</si>
  <si>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</si>
  <si>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</si>
  <si>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</si>
  <si>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</si>
  <si>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</si>
  <si>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</si>
  <si>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</si>
  <si>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</si>
  <si>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</si>
  <si>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</si>
  <si>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</si>
  <si>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</si>
  <si>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</si>
  <si>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</si>
  <si>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</si>
  <si>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</si>
  <si>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</si>
  <si>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</si>
  <si>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</si>
  <si>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</si>
  <si>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</si>
  <si>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</si>
  <si>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</si>
  <si>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</si>
  <si>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</si>
  <si>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</si>
  <si>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</si>
  <si>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</si>
  <si>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</si>
  <si>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</si>
  <si>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</si>
  <si>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</si>
  <si>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</si>
  <si>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</si>
  <si>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</si>
  <si>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</si>
  <si>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</si>
  <si>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</si>
  <si>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</si>
  <si>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</si>
  <si>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</si>
  <si>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</si>
  <si>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</si>
  <si>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</si>
  <si>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</si>
  <si>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</si>
  <si>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</si>
  <si>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</si>
  <si>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</si>
  <si>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</si>
  <si>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</si>
  <si>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</si>
  <si>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</si>
  <si>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</si>
  <si>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</si>
  <si>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</si>
  <si>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</si>
  <si>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</si>
  <si>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</si>
  <si>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</si>
  <si>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</si>
  <si>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</si>
  <si>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</si>
  <si>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</si>
  <si>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</si>
  <si>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</si>
  <si>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</si>
  <si>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</si>
  <si>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</si>
  <si>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</si>
  <si>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</si>
  <si>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</si>
  <si>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</si>
  <si>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</si>
  <si>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</si>
  <si>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</si>
  <si>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</si>
  <si>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</si>
  <si>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</si>
  <si>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</si>
  <si>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</si>
  <si>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</si>
  <si>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</si>
  <si>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</si>
  <si>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</si>
  <si>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</si>
  <si>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</si>
  <si>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</si>
  <si>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</si>
  <si>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</si>
  <si>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</si>
  <si>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</si>
  <si>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</si>
  <si>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</si>
  <si>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</si>
  <si>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</si>
  <si>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</si>
  <si>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</si>
  <si>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</si>
  <si>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</si>
  <si>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</si>
  <si>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</si>
  <si>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</si>
  <si>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</si>
  <si>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</si>
  <si>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</si>
  <si>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</si>
  <si>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</si>
  <si>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</si>
  <si>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</si>
  <si>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</si>
  <si>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</si>
  <si>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</si>
  <si>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</si>
  <si>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</si>
  <si>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</si>
  <si>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</si>
  <si>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</si>
  <si>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</si>
  <si>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</si>
  <si>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</si>
  <si>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</si>
  <si>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</si>
  <si>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</si>
  <si>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</si>
  <si>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</si>
  <si>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</si>
  <si>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</si>
  <si>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</si>
  <si>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</si>
  <si>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</si>
  <si>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</si>
  <si>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</si>
  <si>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</si>
  <si>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</si>
  <si>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</si>
  <si>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</si>
  <si>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</si>
  <si>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</si>
  <si>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</si>
  <si>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</si>
  <si>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</si>
  <si>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</si>
  <si>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</si>
  <si>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</si>
  <si>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</si>
  <si>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</si>
  <si>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</si>
  <si>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</si>
  <si>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</si>
  <si>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</si>
  <si>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</si>
  <si>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</si>
  <si>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</si>
  <si>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</si>
  <si>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</si>
  <si>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</si>
  <si>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</si>
  <si>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</si>
  <si>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</si>
  <si>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</si>
  <si>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</si>
  <si>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</si>
  <si>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</si>
  <si>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</si>
  <si>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</si>
  <si>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</si>
  <si>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</si>
  <si>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</si>
  <si>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</si>
  <si>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</si>
  <si>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</si>
  <si>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</si>
  <si>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</si>
  <si>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</si>
  <si>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</si>
  <si>
    <t>Nestlé Crunch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</si>
</sst>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7"/>
  <sheetViews>
    <sheetView tabSelected="1" workbookViewId="0">
      <pane ySplit="1" topLeftCell="A447" activePane="bottomLeft" state="frozen"/>
      <selection pane="bottomLeft" activeCell="A460" sqref="A460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926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876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2"/>
      <c r="K21" s="2" t="s">
        <v>11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44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45</v>
      </c>
      <c r="B35" s="2" t="s">
        <v>44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95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96</v>
      </c>
      <c r="B85" s="2" t="s">
        <v>95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95</v>
      </c>
      <c r="C94" s="2"/>
      <c r="D94" s="3" t="b">
        <v>0</v>
      </c>
      <c r="E94" s="3" t="b">
        <v>0</v>
      </c>
      <c r="F94" s="3" t="b">
        <v>1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95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933</v>
      </c>
      <c r="B101" s="2" t="s">
        <v>95</v>
      </c>
      <c r="C101" s="2"/>
      <c r="D101" s="3" t="b">
        <v>1</v>
      </c>
      <c r="E101" s="3" t="b">
        <v>0</v>
      </c>
      <c r="F101" s="3" t="b">
        <v>0</v>
      </c>
      <c r="G101" s="3" t="b">
        <v>0</v>
      </c>
      <c r="H101" s="7" t="s">
        <v>934</v>
      </c>
      <c r="I101" s="3" t="b">
        <v>0</v>
      </c>
      <c r="J101" s="2"/>
      <c r="K101" s="2" t="s">
        <v>875</v>
      </c>
    </row>
    <row r="102" spans="1:11" x14ac:dyDescent="0.3">
      <c r="A102" s="2" t="s">
        <v>112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2"/>
      <c r="K102" s="2" t="s">
        <v>11</v>
      </c>
    </row>
    <row r="103" spans="1:11" x14ac:dyDescent="0.3">
      <c r="A103" s="2" t="s">
        <v>113</v>
      </c>
      <c r="B103" s="2" t="s">
        <v>95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95</v>
      </c>
      <c r="C112" s="2"/>
      <c r="D112" s="3" t="b">
        <v>0</v>
      </c>
      <c r="E112" s="3" t="b">
        <v>0</v>
      </c>
      <c r="F112" s="3" t="b">
        <v>1</v>
      </c>
      <c r="G112" s="3" t="b">
        <v>0</v>
      </c>
      <c r="H112" s="7" t="s">
        <v>936</v>
      </c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95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947</v>
      </c>
      <c r="B119" s="2" t="s">
        <v>95</v>
      </c>
      <c r="C119" s="2"/>
      <c r="D119" s="3" t="b">
        <v>1</v>
      </c>
      <c r="E119" s="3" t="b">
        <v>1</v>
      </c>
      <c r="F119" s="3" t="b">
        <v>1</v>
      </c>
      <c r="G119" s="3" t="b">
        <v>0</v>
      </c>
      <c r="H119" s="7" t="s">
        <v>949</v>
      </c>
      <c r="I119" s="3" t="b">
        <v>0</v>
      </c>
      <c r="J119" s="2"/>
      <c r="K119" s="2" t="s">
        <v>875</v>
      </c>
    </row>
    <row r="120" spans="1:11" x14ac:dyDescent="0.3">
      <c r="A120" s="2" t="s">
        <v>948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 t="s">
        <v>943</v>
      </c>
      <c r="I120" s="3" t="b">
        <v>0</v>
      </c>
      <c r="J120" s="2"/>
      <c r="K120" s="2" t="s">
        <v>875</v>
      </c>
    </row>
    <row r="121" spans="1:11" x14ac:dyDescent="0.3">
      <c r="A121" s="2" t="s">
        <v>129</v>
      </c>
      <c r="B121" s="2" t="s">
        <v>95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7"/>
      <c r="I121" s="3" t="b">
        <v>0</v>
      </c>
      <c r="J121" s="2"/>
      <c r="K121" s="2" t="s">
        <v>11</v>
      </c>
    </row>
    <row r="122" spans="1:11" x14ac:dyDescent="0.3">
      <c r="A122" s="2" t="s">
        <v>130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131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132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133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134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135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136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137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138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139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140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908</v>
      </c>
      <c r="B133" s="2" t="s">
        <v>95</v>
      </c>
      <c r="C133" s="2"/>
      <c r="D133" s="3" t="b">
        <v>0</v>
      </c>
      <c r="E133" s="3" t="b">
        <v>0</v>
      </c>
      <c r="F133" s="3" t="b">
        <v>1</v>
      </c>
      <c r="G133" s="3" t="b">
        <v>0</v>
      </c>
      <c r="H133" s="7"/>
      <c r="I133" s="3" t="b">
        <v>0</v>
      </c>
      <c r="J133" s="2"/>
      <c r="K133" s="2" t="s">
        <v>875</v>
      </c>
    </row>
    <row r="134" spans="1:11" x14ac:dyDescent="0.3">
      <c r="A134" s="2" t="s">
        <v>141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2"/>
      <c r="K134" s="2" t="s">
        <v>11</v>
      </c>
    </row>
    <row r="135" spans="1:11" x14ac:dyDescent="0.3">
      <c r="A135" s="2" t="s">
        <v>142</v>
      </c>
      <c r="B135" s="2" t="s">
        <v>95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143</v>
      </c>
      <c r="B136" s="2" t="s">
        <v>95</v>
      </c>
      <c r="C136" s="2"/>
      <c r="D136" s="3" t="b">
        <v>0</v>
      </c>
      <c r="E136" s="3" t="b">
        <v>1</v>
      </c>
      <c r="F136" s="3" t="b">
        <v>0</v>
      </c>
      <c r="G136" s="3" t="b">
        <v>0</v>
      </c>
      <c r="H136" s="2" t="s">
        <v>932</v>
      </c>
      <c r="I136" s="3" t="b">
        <v>0</v>
      </c>
      <c r="J136" s="2"/>
      <c r="K136" s="2" t="s">
        <v>875</v>
      </c>
    </row>
    <row r="137" spans="1:11" x14ac:dyDescent="0.3">
      <c r="A137" s="2" t="s">
        <v>144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2"/>
      <c r="K137" s="2" t="s">
        <v>11</v>
      </c>
    </row>
    <row r="138" spans="1:11" x14ac:dyDescent="0.3">
      <c r="A138" s="2" t="s">
        <v>145</v>
      </c>
      <c r="B138" s="2" t="s">
        <v>95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146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147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148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149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150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151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942</v>
      </c>
      <c r="B145" s="2" t="s">
        <v>95</v>
      </c>
      <c r="C145" s="2"/>
      <c r="D145" s="3" t="b">
        <v>1</v>
      </c>
      <c r="E145" s="3" t="b">
        <v>0</v>
      </c>
      <c r="F145" s="3" t="b">
        <v>0</v>
      </c>
      <c r="G145" s="3" t="b">
        <v>0</v>
      </c>
      <c r="H145" s="7" t="s">
        <v>944</v>
      </c>
      <c r="I145" s="3" t="b">
        <v>0</v>
      </c>
      <c r="J145" s="2"/>
      <c r="K145" s="2" t="s">
        <v>875</v>
      </c>
    </row>
    <row r="146" spans="1:11" x14ac:dyDescent="0.3">
      <c r="A146" s="2" t="s">
        <v>152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2"/>
      <c r="K146" s="2" t="s">
        <v>11</v>
      </c>
    </row>
    <row r="147" spans="1:11" x14ac:dyDescent="0.3">
      <c r="A147" s="2" t="s">
        <v>153</v>
      </c>
      <c r="B147" s="2" t="s">
        <v>95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154</v>
      </c>
      <c r="B148" s="2" t="s">
        <v>155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156</v>
      </c>
      <c r="B149" s="2" t="s">
        <v>155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157</v>
      </c>
      <c r="B150" s="2" t="s">
        <v>155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158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159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160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161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162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163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164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165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166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167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168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169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170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171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172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173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174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175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176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177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178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179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180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181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182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183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184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185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186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187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188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189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190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191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192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193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194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195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196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197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198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199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200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201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202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203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204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205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206</v>
      </c>
      <c r="B199" s="2" t="s">
        <v>207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208</v>
      </c>
      <c r="B200" s="2" t="s">
        <v>207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209</v>
      </c>
      <c r="B201" s="2" t="s">
        <v>207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210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211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212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213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214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215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216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217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218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219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220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221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222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223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224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58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225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226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227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228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229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230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231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232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233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234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235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236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237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238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239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240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241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242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243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244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245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246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247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248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249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250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251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252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253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254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255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256</v>
      </c>
      <c r="B249" s="2" t="s">
        <v>257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258</v>
      </c>
      <c r="B250" s="2" t="s">
        <v>257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259</v>
      </c>
      <c r="B251" s="2" t="s">
        <v>257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260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261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262</v>
      </c>
      <c r="B254" s="2" t="s">
        <v>257</v>
      </c>
      <c r="C254" s="2"/>
      <c r="D254" s="3" t="b">
        <v>1</v>
      </c>
      <c r="E254" s="3" t="b">
        <v>1</v>
      </c>
      <c r="F254" s="3" t="b">
        <v>1</v>
      </c>
      <c r="G254" s="3" t="b">
        <v>0</v>
      </c>
      <c r="H254" s="7" t="s">
        <v>927</v>
      </c>
      <c r="I254" s="3" t="b">
        <v>0</v>
      </c>
      <c r="J254" s="2"/>
      <c r="K254" s="2" t="s">
        <v>875</v>
      </c>
    </row>
    <row r="255" spans="1:11" x14ac:dyDescent="0.3">
      <c r="A255" s="2" t="s">
        <v>263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2"/>
      <c r="K255" s="2" t="s">
        <v>11</v>
      </c>
    </row>
    <row r="256" spans="1:11" x14ac:dyDescent="0.3">
      <c r="A256" s="2" t="s">
        <v>264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930</v>
      </c>
      <c r="B257" s="2" t="s">
        <v>257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875</v>
      </c>
    </row>
    <row r="258" spans="1:11" x14ac:dyDescent="0.3">
      <c r="A258" s="2" t="s">
        <v>905</v>
      </c>
      <c r="B258" s="2" t="s">
        <v>257</v>
      </c>
      <c r="C258" s="2"/>
      <c r="D258" s="3" t="b">
        <v>0</v>
      </c>
      <c r="E258" s="3" t="b">
        <v>0</v>
      </c>
      <c r="F258" s="3" t="b">
        <v>1</v>
      </c>
      <c r="G258" s="3" t="b">
        <v>0</v>
      </c>
      <c r="H258" s="7"/>
      <c r="I258" s="3" t="b">
        <v>0</v>
      </c>
      <c r="J258" s="2"/>
      <c r="K258" s="2" t="s">
        <v>875</v>
      </c>
    </row>
    <row r="259" spans="1:11" x14ac:dyDescent="0.3">
      <c r="A259" s="2" t="s">
        <v>265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/>
      <c r="I259" s="3" t="b">
        <v>0</v>
      </c>
      <c r="J259" s="2"/>
      <c r="K259" s="2" t="s">
        <v>11</v>
      </c>
    </row>
    <row r="260" spans="1:11" x14ac:dyDescent="0.3">
      <c r="A260" s="2" t="s">
        <v>904</v>
      </c>
      <c r="B260" s="2" t="s">
        <v>257</v>
      </c>
      <c r="C260" s="2"/>
      <c r="D260" s="3" t="b">
        <v>0</v>
      </c>
      <c r="E260" s="3" t="b">
        <v>0</v>
      </c>
      <c r="F260" s="3" t="b">
        <v>1</v>
      </c>
      <c r="G260" s="3" t="b">
        <v>0</v>
      </c>
      <c r="H260" s="7"/>
      <c r="I260" s="3" t="b">
        <v>0</v>
      </c>
      <c r="J260" s="2"/>
      <c r="K260" s="2" t="s">
        <v>875</v>
      </c>
    </row>
    <row r="261" spans="1:11" x14ac:dyDescent="0.3">
      <c r="A261" s="2" t="s">
        <v>266</v>
      </c>
      <c r="B261" s="2" t="s">
        <v>257</v>
      </c>
      <c r="C261" s="2"/>
      <c r="D261" s="3" t="b">
        <v>0</v>
      </c>
      <c r="E261" s="3" t="b">
        <v>0</v>
      </c>
      <c r="F261" s="3" t="b">
        <v>0</v>
      </c>
      <c r="G261" s="3" t="b">
        <v>0</v>
      </c>
      <c r="H261" s="7"/>
      <c r="I261" s="3" t="b">
        <v>0</v>
      </c>
      <c r="J261" s="2"/>
      <c r="K261" s="2" t="s">
        <v>11</v>
      </c>
    </row>
    <row r="262" spans="1:11" x14ac:dyDescent="0.3">
      <c r="A262" s="2" t="s">
        <v>267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268</v>
      </c>
      <c r="B263" s="2" t="s">
        <v>257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269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270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271</v>
      </c>
      <c r="B266" s="2" t="s">
        <v>257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272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273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274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275</v>
      </c>
      <c r="B270" s="2" t="s">
        <v>257</v>
      </c>
      <c r="C270" s="2"/>
      <c r="D270" s="3" t="b">
        <v>0</v>
      </c>
      <c r="E270" s="3" t="b">
        <v>0</v>
      </c>
      <c r="F270" s="3" t="b">
        <v>1</v>
      </c>
      <c r="G270" s="3" t="b">
        <v>0</v>
      </c>
      <c r="H270" s="7" t="s">
        <v>927</v>
      </c>
      <c r="I270" s="3" t="b">
        <v>0</v>
      </c>
      <c r="J270" s="2"/>
      <c r="K270" s="2" t="s">
        <v>11</v>
      </c>
    </row>
    <row r="271" spans="1:11" x14ac:dyDescent="0.3">
      <c r="A271" s="2" t="s">
        <v>928</v>
      </c>
      <c r="B271" s="2" t="s">
        <v>257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927</v>
      </c>
      <c r="I271" s="3" t="b">
        <v>0</v>
      </c>
      <c r="J271" s="2"/>
      <c r="K271" s="2" t="s">
        <v>11</v>
      </c>
    </row>
    <row r="272" spans="1:11" x14ac:dyDescent="0.3">
      <c r="A272" s="2" t="s">
        <v>276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2"/>
      <c r="K272" s="2" t="s">
        <v>11</v>
      </c>
    </row>
    <row r="273" spans="1:11" x14ac:dyDescent="0.3">
      <c r="A273" s="2" t="s">
        <v>277</v>
      </c>
      <c r="B273" s="2" t="s">
        <v>257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278</v>
      </c>
      <c r="B274" s="2" t="s">
        <v>257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279</v>
      </c>
      <c r="B275" s="2" t="s">
        <v>257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903</v>
      </c>
      <c r="B276" s="2" t="s">
        <v>257</v>
      </c>
      <c r="C276" s="2"/>
      <c r="D276" s="3" t="b">
        <v>0</v>
      </c>
      <c r="E276" s="3" t="b">
        <v>0</v>
      </c>
      <c r="F276" s="3" t="b">
        <v>1</v>
      </c>
      <c r="G276" s="3" t="b">
        <v>0</v>
      </c>
      <c r="H276" s="7"/>
      <c r="I276" s="3" t="b">
        <v>0</v>
      </c>
      <c r="J276" s="2"/>
      <c r="K276" s="2" t="s">
        <v>875</v>
      </c>
    </row>
    <row r="277" spans="1:11" x14ac:dyDescent="0.3">
      <c r="A277" s="2" t="s">
        <v>280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2"/>
      <c r="K277" s="2" t="s">
        <v>11</v>
      </c>
    </row>
    <row r="278" spans="1:11" x14ac:dyDescent="0.3">
      <c r="A278" s="2" t="s">
        <v>888</v>
      </c>
      <c r="B278" s="2" t="s">
        <v>257</v>
      </c>
      <c r="C278" s="2"/>
      <c r="D278" s="3" t="b">
        <v>0</v>
      </c>
      <c r="E278" s="3" t="b">
        <v>0</v>
      </c>
      <c r="F278" s="3" t="b">
        <v>1</v>
      </c>
      <c r="G278" s="3" t="b">
        <v>0</v>
      </c>
      <c r="H278" s="7"/>
      <c r="I278" s="3" t="b">
        <v>0</v>
      </c>
      <c r="J278" s="2"/>
      <c r="K278" s="2" t="s">
        <v>875</v>
      </c>
    </row>
    <row r="279" spans="1:11" x14ac:dyDescent="0.3">
      <c r="A279" s="2" t="s">
        <v>281</v>
      </c>
      <c r="B279" s="2" t="s">
        <v>257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7"/>
      <c r="I279" s="3" t="b">
        <v>0</v>
      </c>
      <c r="J279" s="2"/>
      <c r="K279" s="2" t="s">
        <v>11</v>
      </c>
    </row>
    <row r="280" spans="1:11" x14ac:dyDescent="0.3">
      <c r="A280" s="2" t="s">
        <v>282</v>
      </c>
      <c r="B280" s="2" t="s">
        <v>257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283</v>
      </c>
      <c r="B281" s="2" t="s">
        <v>257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284</v>
      </c>
      <c r="B282" s="2" t="s">
        <v>257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285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286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287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907</v>
      </c>
      <c r="B286" s="2"/>
      <c r="C286" s="2"/>
      <c r="D286" s="3"/>
      <c r="E286" s="3"/>
      <c r="F286" s="3"/>
      <c r="G286" s="3"/>
      <c r="H286" s="7"/>
      <c r="I286" s="3"/>
      <c r="J286" s="2"/>
      <c r="K286" s="2"/>
    </row>
    <row r="287" spans="1:11" x14ac:dyDescent="0.3">
      <c r="A287" s="2" t="s">
        <v>950</v>
      </c>
      <c r="B287" s="2" t="s">
        <v>257</v>
      </c>
      <c r="C287" s="2"/>
      <c r="D287" s="3" t="b">
        <v>1</v>
      </c>
      <c r="E287" s="3" t="b">
        <v>1</v>
      </c>
      <c r="F287" s="3" t="b">
        <v>1</v>
      </c>
      <c r="G287" s="3" t="b">
        <v>0</v>
      </c>
      <c r="H287" s="7"/>
      <c r="I287" s="3" t="b">
        <v>0</v>
      </c>
      <c r="J287" s="2"/>
      <c r="K287" s="2" t="s">
        <v>875</v>
      </c>
    </row>
    <row r="288" spans="1:11" x14ac:dyDescent="0.3">
      <c r="A288" s="2" t="s">
        <v>288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289</v>
      </c>
      <c r="B289" s="2" t="s">
        <v>257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290</v>
      </c>
      <c r="B290" s="2" t="s">
        <v>257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291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292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293</v>
      </c>
      <c r="B293" s="2" t="s">
        <v>257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2"/>
      <c r="K293" s="2" t="s">
        <v>11</v>
      </c>
    </row>
    <row r="294" spans="1:11" x14ac:dyDescent="0.3">
      <c r="A294" s="2" t="s">
        <v>901</v>
      </c>
      <c r="B294" s="2" t="s">
        <v>257</v>
      </c>
      <c r="C294" s="2"/>
      <c r="D294" s="3" t="b">
        <v>0</v>
      </c>
      <c r="E294" s="3" t="b">
        <v>0</v>
      </c>
      <c r="F294" s="3" t="b">
        <v>1</v>
      </c>
      <c r="G294" s="3" t="b">
        <v>0</v>
      </c>
      <c r="H294" s="7"/>
      <c r="I294" s="3" t="b">
        <v>0</v>
      </c>
      <c r="J294" s="2"/>
      <c r="K294" s="2" t="s">
        <v>875</v>
      </c>
    </row>
    <row r="295" spans="1:11" x14ac:dyDescent="0.3">
      <c r="A295" s="2" t="s">
        <v>294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295</v>
      </c>
      <c r="B296" s="2" t="s">
        <v>257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296</v>
      </c>
      <c r="B297" s="2" t="s">
        <v>257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297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298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299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300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301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302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303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304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305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306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307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308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309</v>
      </c>
      <c r="B310" s="2" t="s">
        <v>257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310</v>
      </c>
      <c r="B311" s="2" t="s">
        <v>311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312</v>
      </c>
      <c r="B312" s="2" t="s">
        <v>311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313</v>
      </c>
      <c r="B313" s="2" t="s">
        <v>311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314</v>
      </c>
      <c r="B314" s="2" t="s">
        <v>311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315</v>
      </c>
      <c r="B315" s="2" t="s">
        <v>311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316</v>
      </c>
      <c r="B316" s="2" t="s">
        <v>311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317</v>
      </c>
      <c r="B317" s="2" t="s">
        <v>311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318</v>
      </c>
      <c r="B318" s="2" t="s">
        <v>311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319</v>
      </c>
      <c r="B319" s="2" t="s">
        <v>311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320</v>
      </c>
      <c r="B320" s="2" t="s">
        <v>311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321</v>
      </c>
      <c r="B321" s="2" t="s">
        <v>311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322</v>
      </c>
      <c r="B322" s="2" t="s">
        <v>311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323</v>
      </c>
      <c r="B323" s="2" t="s">
        <v>311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324</v>
      </c>
      <c r="B324" s="2" t="s">
        <v>311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325</v>
      </c>
      <c r="B325" s="2" t="s">
        <v>311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326</v>
      </c>
      <c r="B326" s="2" t="s">
        <v>311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327</v>
      </c>
      <c r="B327" s="2" t="s">
        <v>311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328</v>
      </c>
      <c r="B328" s="2" t="s">
        <v>311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329</v>
      </c>
      <c r="B329" s="2" t="s">
        <v>311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330</v>
      </c>
      <c r="B330" s="2" t="s">
        <v>311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331</v>
      </c>
      <c r="B331" s="2" t="s">
        <v>311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332</v>
      </c>
      <c r="B332" s="2" t="s">
        <v>311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333</v>
      </c>
      <c r="B333" s="2" t="s">
        <v>311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334</v>
      </c>
      <c r="B334" s="2" t="s">
        <v>311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335</v>
      </c>
      <c r="B335" s="2" t="s">
        <v>311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336</v>
      </c>
      <c r="B336" s="2" t="s">
        <v>311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337</v>
      </c>
      <c r="B337" s="2" t="s">
        <v>311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338</v>
      </c>
      <c r="B338" s="2" t="s">
        <v>311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339</v>
      </c>
      <c r="B339" s="2" t="s">
        <v>311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340</v>
      </c>
      <c r="B340" s="2" t="s">
        <v>311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341</v>
      </c>
      <c r="B341" s="2" t="s">
        <v>311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342</v>
      </c>
      <c r="B342" s="2" t="s">
        <v>311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343</v>
      </c>
      <c r="B343" s="2" t="s">
        <v>311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344</v>
      </c>
      <c r="B344" s="2" t="s">
        <v>311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345</v>
      </c>
      <c r="B345" s="2" t="s">
        <v>311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346</v>
      </c>
      <c r="B346" s="2" t="s">
        <v>311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347</v>
      </c>
      <c r="B347" s="2" t="s">
        <v>311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348</v>
      </c>
      <c r="B348" s="2" t="s">
        <v>311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349</v>
      </c>
      <c r="B349" s="2" t="s">
        <v>311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350</v>
      </c>
      <c r="B350" s="2" t="s">
        <v>311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351</v>
      </c>
      <c r="B351" s="2" t="s">
        <v>311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352</v>
      </c>
      <c r="B352" s="2" t="s">
        <v>311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353</v>
      </c>
      <c r="B353" s="2" t="s">
        <v>311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354</v>
      </c>
      <c r="B354" s="2" t="s">
        <v>311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355</v>
      </c>
      <c r="B355" s="2" t="s">
        <v>311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356</v>
      </c>
      <c r="B356" s="2" t="s">
        <v>311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357</v>
      </c>
      <c r="B357" s="2" t="s">
        <v>311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358</v>
      </c>
      <c r="B358" s="2" t="s">
        <v>311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359</v>
      </c>
      <c r="B359" s="2" t="s">
        <v>311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2"/>
      <c r="K359" s="2" t="s">
        <v>11</v>
      </c>
    </row>
    <row r="360" spans="1:11" x14ac:dyDescent="0.3">
      <c r="A360" s="2" t="s">
        <v>876</v>
      </c>
      <c r="B360" s="2" t="s">
        <v>361</v>
      </c>
      <c r="C360" s="2"/>
      <c r="D360" s="3" t="b">
        <v>0</v>
      </c>
      <c r="E360" s="3" t="b">
        <v>0</v>
      </c>
      <c r="F360" s="3" t="b">
        <v>0</v>
      </c>
      <c r="G360" s="3" t="b">
        <v>1</v>
      </c>
      <c r="H360" s="7"/>
      <c r="I360" s="3" t="b">
        <v>1</v>
      </c>
      <c r="J360" s="2"/>
      <c r="K360" s="2" t="s">
        <v>875</v>
      </c>
    </row>
    <row r="361" spans="1:11" x14ac:dyDescent="0.3">
      <c r="A361" s="2" t="s">
        <v>360</v>
      </c>
      <c r="B361" s="2" t="s">
        <v>361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362</v>
      </c>
      <c r="B362" s="2" t="s">
        <v>361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363</v>
      </c>
      <c r="B363" s="2" t="s">
        <v>361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364</v>
      </c>
      <c r="B364" s="2" t="s">
        <v>361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365</v>
      </c>
      <c r="B365" s="2" t="s">
        <v>361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366</v>
      </c>
      <c r="B366" s="2" t="s">
        <v>361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367</v>
      </c>
      <c r="B367" s="2" t="s">
        <v>361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368</v>
      </c>
      <c r="B368" s="2" t="s">
        <v>361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369</v>
      </c>
      <c r="B369" s="2" t="s">
        <v>361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370</v>
      </c>
      <c r="B370" s="2" t="s">
        <v>361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371</v>
      </c>
      <c r="B371" s="2" t="s">
        <v>361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372</v>
      </c>
      <c r="B372" s="2" t="s">
        <v>361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373</v>
      </c>
      <c r="B373" s="2" t="s">
        <v>361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374</v>
      </c>
      <c r="B374" s="2" t="s">
        <v>361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375</v>
      </c>
      <c r="B375" s="2" t="s">
        <v>361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376</v>
      </c>
      <c r="B376" s="2" t="s">
        <v>361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377</v>
      </c>
      <c r="B377" s="2" t="s">
        <v>361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378</v>
      </c>
      <c r="B378" s="2" t="s">
        <v>361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379</v>
      </c>
      <c r="B379" s="2" t="s">
        <v>361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380</v>
      </c>
      <c r="B380" s="2" t="s">
        <v>361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381</v>
      </c>
      <c r="B381" s="2" t="s">
        <v>361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382</v>
      </c>
      <c r="B382" s="2" t="s">
        <v>361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383</v>
      </c>
      <c r="B383" s="2" t="s">
        <v>361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384</v>
      </c>
      <c r="B384" s="2" t="s">
        <v>361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385</v>
      </c>
      <c r="B385" s="2" t="s">
        <v>361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386</v>
      </c>
      <c r="B386" s="2" t="s">
        <v>361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387</v>
      </c>
      <c r="B387" s="2" t="s">
        <v>361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388</v>
      </c>
      <c r="B388" s="2" t="s">
        <v>361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389</v>
      </c>
      <c r="B389" s="2" t="s">
        <v>361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390</v>
      </c>
      <c r="B390" s="2" t="s">
        <v>361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391</v>
      </c>
      <c r="B391" s="2" t="s">
        <v>361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392</v>
      </c>
      <c r="B392" s="2" t="s">
        <v>361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393</v>
      </c>
      <c r="B393" s="2" t="s">
        <v>361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394</v>
      </c>
      <c r="B394" s="2" t="s">
        <v>361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395</v>
      </c>
      <c r="B395" s="2" t="s">
        <v>361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396</v>
      </c>
      <c r="B396" s="2" t="s">
        <v>361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397</v>
      </c>
      <c r="B397" s="2" t="s">
        <v>361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398</v>
      </c>
      <c r="B398" s="2" t="s">
        <v>361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399</v>
      </c>
      <c r="B399" s="2" t="s">
        <v>361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400</v>
      </c>
      <c r="B400" s="2" t="s">
        <v>361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401</v>
      </c>
      <c r="B401" s="2" t="s">
        <v>361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402</v>
      </c>
      <c r="B402" s="2" t="s">
        <v>361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403</v>
      </c>
      <c r="B403" s="2" t="s">
        <v>361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404</v>
      </c>
      <c r="B404" s="2" t="s">
        <v>361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405</v>
      </c>
      <c r="B405" s="2" t="s">
        <v>361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11</v>
      </c>
    </row>
    <row r="406" spans="1:11" x14ac:dyDescent="0.3">
      <c r="A406" s="2" t="s">
        <v>891</v>
      </c>
      <c r="B406" s="2" t="s">
        <v>929</v>
      </c>
      <c r="C406" s="2"/>
      <c r="D406" s="3" t="b">
        <v>1</v>
      </c>
      <c r="E406" s="3" t="b">
        <v>1</v>
      </c>
      <c r="F406" s="3" t="b">
        <v>0</v>
      </c>
      <c r="G406" s="3" t="b">
        <v>0</v>
      </c>
      <c r="H406" s="7"/>
      <c r="I406" s="3" t="b">
        <v>0</v>
      </c>
      <c r="J406" s="2"/>
      <c r="K406" s="2" t="s">
        <v>875</v>
      </c>
    </row>
    <row r="407" spans="1:11" x14ac:dyDescent="0.3">
      <c r="A407" s="2" t="s">
        <v>406</v>
      </c>
      <c r="B407" s="2" t="s">
        <v>929</v>
      </c>
      <c r="C407" s="2"/>
      <c r="D407" s="3" t="b">
        <v>0</v>
      </c>
      <c r="E407" s="3" t="b">
        <v>0</v>
      </c>
      <c r="F407" s="3" t="b">
        <v>1</v>
      </c>
      <c r="G407" s="3" t="b">
        <v>0</v>
      </c>
      <c r="H407" s="7"/>
      <c r="I407" s="3" t="b">
        <v>0</v>
      </c>
      <c r="J407" s="2"/>
      <c r="K407" s="2" t="s">
        <v>875</v>
      </c>
    </row>
    <row r="408" spans="1:11" x14ac:dyDescent="0.3">
      <c r="A408" s="2" t="s">
        <v>407</v>
      </c>
      <c r="B408" s="2" t="s">
        <v>929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7"/>
      <c r="I408" s="3" t="b">
        <v>0</v>
      </c>
      <c r="J408" s="2"/>
      <c r="K408" s="2" t="s">
        <v>11</v>
      </c>
    </row>
    <row r="409" spans="1:11" x14ac:dyDescent="0.3">
      <c r="A409" s="2" t="s">
        <v>919</v>
      </c>
      <c r="B409" s="2" t="s">
        <v>929</v>
      </c>
      <c r="C409" s="2"/>
      <c r="D409" s="3" t="b">
        <v>0</v>
      </c>
      <c r="E409" s="3" t="b">
        <v>0</v>
      </c>
      <c r="F409" s="3" t="b">
        <v>1</v>
      </c>
      <c r="G409" s="3" t="b">
        <v>0</v>
      </c>
      <c r="H409" s="7"/>
      <c r="I409" s="3" t="b">
        <v>0</v>
      </c>
      <c r="J409" s="2"/>
      <c r="K409" s="2" t="s">
        <v>875</v>
      </c>
    </row>
    <row r="410" spans="1:11" x14ac:dyDescent="0.3">
      <c r="A410" s="2" t="s">
        <v>408</v>
      </c>
      <c r="B410" s="2" t="s">
        <v>929</v>
      </c>
      <c r="C410" s="2"/>
      <c r="D410" s="3" t="b">
        <v>0</v>
      </c>
      <c r="E410" s="3" t="b">
        <v>0</v>
      </c>
      <c r="F410" s="3" t="b">
        <v>0</v>
      </c>
      <c r="G410" s="3" t="b">
        <v>0</v>
      </c>
      <c r="H410" s="7"/>
      <c r="I410" s="3" t="b">
        <v>0</v>
      </c>
      <c r="J410" s="2"/>
      <c r="K410" s="2" t="s">
        <v>11</v>
      </c>
    </row>
    <row r="411" spans="1:11" x14ac:dyDescent="0.3">
      <c r="A411" s="2" t="s">
        <v>892</v>
      </c>
      <c r="B411" s="2" t="s">
        <v>929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7"/>
      <c r="I411" s="3" t="b">
        <v>1</v>
      </c>
      <c r="J411" s="2"/>
      <c r="K411" s="2" t="s">
        <v>875</v>
      </c>
    </row>
    <row r="412" spans="1:11" x14ac:dyDescent="0.3">
      <c r="A412" s="2" t="s">
        <v>409</v>
      </c>
      <c r="B412" s="2" t="s">
        <v>929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410</v>
      </c>
      <c r="B413" s="2" t="s">
        <v>929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2"/>
      <c r="K413" s="2" t="s">
        <v>11</v>
      </c>
    </row>
    <row r="414" spans="1:11" x14ac:dyDescent="0.3">
      <c r="A414" s="2" t="s">
        <v>915</v>
      </c>
      <c r="B414" s="2" t="s">
        <v>929</v>
      </c>
      <c r="C414" s="2"/>
      <c r="D414" s="3" t="b">
        <v>0</v>
      </c>
      <c r="E414" s="3" t="b">
        <v>0</v>
      </c>
      <c r="F414" s="3" t="b">
        <v>1</v>
      </c>
      <c r="G414" s="3" t="b">
        <v>0</v>
      </c>
      <c r="H414" s="7"/>
      <c r="I414" s="3" t="b">
        <v>0</v>
      </c>
      <c r="J414" s="2"/>
      <c r="K414" s="2" t="s">
        <v>875</v>
      </c>
    </row>
    <row r="415" spans="1:11" x14ac:dyDescent="0.3">
      <c r="A415" s="2" t="s">
        <v>890</v>
      </c>
      <c r="B415" s="2" t="s">
        <v>929</v>
      </c>
      <c r="C415" s="2"/>
      <c r="D415" s="3" t="b">
        <v>0</v>
      </c>
      <c r="E415" s="3" t="b">
        <v>1</v>
      </c>
      <c r="F415" s="3" t="b">
        <v>0</v>
      </c>
      <c r="G415" s="3" t="b">
        <v>0</v>
      </c>
      <c r="H415" s="7"/>
      <c r="I415" s="3" t="b">
        <v>0</v>
      </c>
      <c r="J415" s="2"/>
      <c r="K415" s="2" t="s">
        <v>875</v>
      </c>
    </row>
    <row r="416" spans="1:11" x14ac:dyDescent="0.3">
      <c r="A416" s="2" t="s">
        <v>898</v>
      </c>
      <c r="B416" s="2" t="s">
        <v>929</v>
      </c>
      <c r="C416" s="2"/>
      <c r="D416" s="3" t="b">
        <v>0</v>
      </c>
      <c r="E416" s="3" t="b">
        <v>0</v>
      </c>
      <c r="F416" s="3" t="b">
        <v>1</v>
      </c>
      <c r="G416" s="3" t="b">
        <v>0</v>
      </c>
      <c r="H416" s="7"/>
      <c r="I416" s="3" t="b">
        <v>0</v>
      </c>
      <c r="J416" s="2"/>
      <c r="K416" s="2" t="s">
        <v>875</v>
      </c>
    </row>
    <row r="417" spans="1:11" x14ac:dyDescent="0.3">
      <c r="A417" s="2" t="s">
        <v>411</v>
      </c>
      <c r="B417" s="2" t="s">
        <v>929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412</v>
      </c>
      <c r="B418" s="2" t="s">
        <v>929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413</v>
      </c>
      <c r="B419" s="2" t="s">
        <v>929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414</v>
      </c>
      <c r="B420" s="2" t="s">
        <v>929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11</v>
      </c>
    </row>
    <row r="421" spans="1:11" x14ac:dyDescent="0.3">
      <c r="A421" s="2" t="s">
        <v>893</v>
      </c>
      <c r="B421" s="2" t="s">
        <v>929</v>
      </c>
      <c r="C421" s="2"/>
      <c r="D421" s="3" t="b">
        <v>0</v>
      </c>
      <c r="E421" s="3" t="b">
        <v>1</v>
      </c>
      <c r="F421" s="3" t="b">
        <v>0</v>
      </c>
      <c r="G421" s="3" t="b">
        <v>0</v>
      </c>
      <c r="H421" s="7"/>
      <c r="I421" s="3" t="b">
        <v>0</v>
      </c>
      <c r="J421" s="2"/>
      <c r="K421" s="2" t="s">
        <v>875</v>
      </c>
    </row>
    <row r="422" spans="1:11" x14ac:dyDescent="0.3">
      <c r="A422" s="2" t="s">
        <v>917</v>
      </c>
      <c r="B422" s="2" t="s">
        <v>929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7"/>
      <c r="I422" s="3" t="b">
        <v>0</v>
      </c>
      <c r="J422" s="2"/>
      <c r="K422" s="2" t="s">
        <v>875</v>
      </c>
    </row>
    <row r="423" spans="1:11" x14ac:dyDescent="0.3">
      <c r="A423" s="2" t="s">
        <v>104</v>
      </c>
      <c r="B423" s="2" t="s">
        <v>929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415</v>
      </c>
      <c r="B424" s="2" t="s">
        <v>929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416</v>
      </c>
      <c r="B425" s="2" t="s">
        <v>929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2"/>
      <c r="K425" s="2" t="s">
        <v>11</v>
      </c>
    </row>
    <row r="426" spans="1:11" x14ac:dyDescent="0.3">
      <c r="A426" s="2" t="s">
        <v>897</v>
      </c>
      <c r="B426" s="2" t="s">
        <v>929</v>
      </c>
      <c r="C426" s="2"/>
      <c r="D426" s="3" t="b">
        <v>0</v>
      </c>
      <c r="E426" s="3" t="b">
        <v>0</v>
      </c>
      <c r="F426" s="3" t="b">
        <v>1</v>
      </c>
      <c r="G426" s="3" t="b">
        <v>0</v>
      </c>
      <c r="H426" s="7"/>
      <c r="I426" s="3" t="b">
        <v>0</v>
      </c>
      <c r="J426" s="2"/>
      <c r="K426" s="2" t="s">
        <v>875</v>
      </c>
    </row>
    <row r="427" spans="1:11" x14ac:dyDescent="0.3">
      <c r="A427" s="2" t="s">
        <v>417</v>
      </c>
      <c r="B427" s="2" t="s">
        <v>929</v>
      </c>
      <c r="C427" s="2"/>
      <c r="D427" s="3" t="b">
        <v>1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875</v>
      </c>
    </row>
    <row r="428" spans="1:11" x14ac:dyDescent="0.3">
      <c r="A428" s="2" t="s">
        <v>418</v>
      </c>
      <c r="B428" s="2" t="s">
        <v>929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419</v>
      </c>
      <c r="B429" s="2" t="s">
        <v>929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420</v>
      </c>
      <c r="B430" s="2" t="s">
        <v>929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2"/>
      <c r="K430" s="2" t="s">
        <v>11</v>
      </c>
    </row>
    <row r="431" spans="1:11" x14ac:dyDescent="0.3">
      <c r="A431" s="2" t="s">
        <v>916</v>
      </c>
      <c r="B431" s="2" t="s">
        <v>929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 t="s">
        <v>932</v>
      </c>
      <c r="I431" s="3" t="b">
        <v>0</v>
      </c>
      <c r="J431" s="2"/>
      <c r="K431" s="2" t="s">
        <v>875</v>
      </c>
    </row>
    <row r="432" spans="1:11" x14ac:dyDescent="0.3">
      <c r="A432" s="2" t="s">
        <v>421</v>
      </c>
      <c r="B432" s="2" t="s">
        <v>929</v>
      </c>
      <c r="C432" s="2"/>
      <c r="D432" s="3" t="b">
        <v>0</v>
      </c>
      <c r="E432" s="3" t="b">
        <v>0</v>
      </c>
      <c r="F432" s="3" t="b">
        <v>1</v>
      </c>
      <c r="G432" s="3" t="b">
        <v>0</v>
      </c>
      <c r="H432" s="7"/>
      <c r="I432" s="3" t="b">
        <v>0</v>
      </c>
      <c r="J432" s="2"/>
      <c r="K432" s="2" t="s">
        <v>875</v>
      </c>
    </row>
    <row r="433" spans="1:11" x14ac:dyDescent="0.3">
      <c r="A433" s="2" t="s">
        <v>114</v>
      </c>
      <c r="B433" s="2" t="s">
        <v>929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7"/>
      <c r="I433" s="3" t="b">
        <v>0</v>
      </c>
      <c r="J433" s="2"/>
      <c r="K433" s="2" t="s">
        <v>11</v>
      </c>
    </row>
    <row r="434" spans="1:11" x14ac:dyDescent="0.3">
      <c r="A434" s="2" t="s">
        <v>894</v>
      </c>
      <c r="B434" s="2" t="s">
        <v>929</v>
      </c>
      <c r="C434" s="2"/>
      <c r="D434" s="3" t="b">
        <v>0</v>
      </c>
      <c r="E434" s="3" t="b">
        <v>1</v>
      </c>
      <c r="F434" s="3" t="b">
        <v>0</v>
      </c>
      <c r="G434" s="3" t="b">
        <v>0</v>
      </c>
      <c r="H434" s="7"/>
      <c r="I434" s="3" t="b">
        <v>1</v>
      </c>
      <c r="J434" s="2"/>
      <c r="K434" s="2" t="s">
        <v>875</v>
      </c>
    </row>
    <row r="435" spans="1:11" x14ac:dyDescent="0.3">
      <c r="A435" s="2" t="s">
        <v>422</v>
      </c>
      <c r="B435" s="2" t="s">
        <v>929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423</v>
      </c>
      <c r="B436" s="2" t="s">
        <v>929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424</v>
      </c>
      <c r="B437" s="2" t="s">
        <v>929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2"/>
      <c r="K437" s="2" t="s">
        <v>11</v>
      </c>
    </row>
    <row r="438" spans="1:11" x14ac:dyDescent="0.3">
      <c r="A438" s="2" t="s">
        <v>935</v>
      </c>
      <c r="B438" s="2" t="s">
        <v>929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 t="s">
        <v>927</v>
      </c>
      <c r="I438" s="3" t="b">
        <v>0</v>
      </c>
      <c r="J438" s="2"/>
      <c r="K438" s="2" t="s">
        <v>875</v>
      </c>
    </row>
    <row r="439" spans="1:11" x14ac:dyDescent="0.3">
      <c r="A439" s="2" t="s">
        <v>878</v>
      </c>
      <c r="B439" s="2" t="s">
        <v>929</v>
      </c>
      <c r="C439" s="2"/>
      <c r="D439" s="3" t="b">
        <v>0</v>
      </c>
      <c r="E439" s="3" t="b">
        <v>0</v>
      </c>
      <c r="F439" s="3" t="b">
        <v>1</v>
      </c>
      <c r="G439" s="3" t="b">
        <v>0</v>
      </c>
      <c r="H439" s="7"/>
      <c r="I439" s="3" t="b">
        <v>0</v>
      </c>
      <c r="J439" s="2"/>
      <c r="K439" s="2" t="s">
        <v>875</v>
      </c>
    </row>
    <row r="440" spans="1:11" x14ac:dyDescent="0.3">
      <c r="A440" s="2" t="s">
        <v>425</v>
      </c>
      <c r="B440" s="2" t="s">
        <v>929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426</v>
      </c>
      <c r="B441" s="2" t="s">
        <v>929</v>
      </c>
      <c r="C441" s="2"/>
      <c r="D441" s="3" t="b">
        <v>0</v>
      </c>
      <c r="E441" s="3" t="b">
        <v>0</v>
      </c>
      <c r="F441" s="3" t="b">
        <v>0</v>
      </c>
      <c r="G441" s="3" t="b">
        <v>0</v>
      </c>
      <c r="H441" s="7"/>
      <c r="I441" s="3" t="b">
        <v>0</v>
      </c>
      <c r="J441" s="2"/>
      <c r="K441" s="2" t="s">
        <v>11</v>
      </c>
    </row>
    <row r="442" spans="1:11" x14ac:dyDescent="0.3">
      <c r="A442" s="2" t="s">
        <v>884</v>
      </c>
      <c r="B442" s="2" t="s">
        <v>929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875</v>
      </c>
    </row>
    <row r="443" spans="1:11" x14ac:dyDescent="0.3">
      <c r="A443" s="2" t="s">
        <v>883</v>
      </c>
      <c r="B443" s="2" t="s">
        <v>929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875</v>
      </c>
    </row>
    <row r="444" spans="1:11" x14ac:dyDescent="0.3">
      <c r="A444" s="2" t="s">
        <v>119</v>
      </c>
      <c r="B444" s="2" t="s">
        <v>929</v>
      </c>
      <c r="C444" s="2"/>
      <c r="D444" s="3" t="b">
        <v>0</v>
      </c>
      <c r="E444" s="3" t="b">
        <v>1</v>
      </c>
      <c r="F444" s="3" t="b">
        <v>1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427</v>
      </c>
      <c r="B445" s="2" t="s">
        <v>929</v>
      </c>
      <c r="C445" s="2"/>
      <c r="D445" s="3" t="b">
        <v>0</v>
      </c>
      <c r="E445" s="3" t="b">
        <v>0</v>
      </c>
      <c r="F445" s="3" t="b">
        <v>0</v>
      </c>
      <c r="G445" s="3" t="b">
        <v>0</v>
      </c>
      <c r="H445" s="7"/>
      <c r="I445" s="3" t="b">
        <v>0</v>
      </c>
      <c r="J445" s="2"/>
      <c r="K445" s="2" t="s">
        <v>11</v>
      </c>
    </row>
    <row r="446" spans="1:11" x14ac:dyDescent="0.3">
      <c r="A446" s="2" t="s">
        <v>888</v>
      </c>
      <c r="B446" s="2" t="s">
        <v>929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875</v>
      </c>
    </row>
    <row r="447" spans="1:11" x14ac:dyDescent="0.3">
      <c r="A447" s="2" t="s">
        <v>428</v>
      </c>
      <c r="B447" s="2" t="s">
        <v>929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875</v>
      </c>
    </row>
    <row r="448" spans="1:11" x14ac:dyDescent="0.3">
      <c r="A448" s="2" t="s">
        <v>429</v>
      </c>
      <c r="B448" s="2" t="s">
        <v>929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2"/>
      <c r="K448" s="2" t="s">
        <v>875</v>
      </c>
    </row>
    <row r="449" spans="1:11" x14ac:dyDescent="0.3">
      <c r="A449" s="2" t="s">
        <v>896</v>
      </c>
      <c r="B449" s="2" t="s">
        <v>929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 t="s">
        <v>936</v>
      </c>
      <c r="I449" s="3" t="b">
        <v>0</v>
      </c>
      <c r="J449" s="2"/>
      <c r="K449" s="2" t="s">
        <v>875</v>
      </c>
    </row>
    <row r="450" spans="1:11" x14ac:dyDescent="0.3">
      <c r="A450" s="2" t="s">
        <v>911</v>
      </c>
      <c r="B450" s="2" t="s">
        <v>929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2"/>
      <c r="K450" s="2" t="s">
        <v>875</v>
      </c>
    </row>
    <row r="451" spans="1:11" x14ac:dyDescent="0.3">
      <c r="A451" s="2" t="s">
        <v>430</v>
      </c>
      <c r="B451" s="2" t="s">
        <v>929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431</v>
      </c>
      <c r="B452" s="2" t="s">
        <v>929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123</v>
      </c>
      <c r="B453" s="2" t="s">
        <v>929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432</v>
      </c>
      <c r="B454" s="2" t="s">
        <v>929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433</v>
      </c>
      <c r="B455" s="2" t="s">
        <v>929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434</v>
      </c>
      <c r="B456" s="2" t="s">
        <v>929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2"/>
      <c r="K456" s="2" t="s">
        <v>11</v>
      </c>
    </row>
    <row r="457" spans="1:11" x14ac:dyDescent="0.3">
      <c r="A457" s="2" t="s">
        <v>947</v>
      </c>
      <c r="B457" s="2" t="s">
        <v>929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939</v>
      </c>
      <c r="I457" s="3" t="b">
        <v>0</v>
      </c>
      <c r="J457" s="2"/>
      <c r="K457" s="2" t="s">
        <v>875</v>
      </c>
    </row>
    <row r="458" spans="1:11" x14ac:dyDescent="0.3">
      <c r="A458" s="2" t="s">
        <v>906</v>
      </c>
      <c r="B458" s="2" t="s">
        <v>929</v>
      </c>
      <c r="C458" s="2"/>
      <c r="D458" s="3" t="b">
        <v>1</v>
      </c>
      <c r="E458" s="3" t="b">
        <v>1</v>
      </c>
      <c r="F458" s="3" t="b">
        <v>1</v>
      </c>
      <c r="G458" s="3" t="b">
        <v>0</v>
      </c>
      <c r="H458" s="7" t="s">
        <v>939</v>
      </c>
      <c r="I458" s="3" t="b">
        <v>0</v>
      </c>
      <c r="J458" s="2"/>
      <c r="K458" s="2" t="s">
        <v>875</v>
      </c>
    </row>
    <row r="459" spans="1:11" x14ac:dyDescent="0.3">
      <c r="A459" s="2" t="s">
        <v>881</v>
      </c>
      <c r="B459" s="2" t="s">
        <v>929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7" t="s">
        <v>940</v>
      </c>
      <c r="I459" s="3" t="b">
        <v>0</v>
      </c>
      <c r="J459" s="2"/>
      <c r="K459" s="2" t="s">
        <v>875</v>
      </c>
    </row>
    <row r="460" spans="1:11" x14ac:dyDescent="0.3">
      <c r="A460" s="2" t="s">
        <v>907</v>
      </c>
      <c r="B460" s="2" t="s">
        <v>929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941</v>
      </c>
      <c r="I460" s="3" t="b">
        <v>0</v>
      </c>
      <c r="J460" s="2"/>
      <c r="K460" s="2" t="s">
        <v>875</v>
      </c>
    </row>
    <row r="461" spans="1:11" x14ac:dyDescent="0.3">
      <c r="A461" s="2" t="s">
        <v>435</v>
      </c>
      <c r="B461" s="2" t="s">
        <v>929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7"/>
      <c r="I461" s="3" t="b">
        <v>0</v>
      </c>
      <c r="J461" s="2"/>
      <c r="K461" s="2" t="s">
        <v>11</v>
      </c>
    </row>
    <row r="462" spans="1:11" x14ac:dyDescent="0.3">
      <c r="A462" s="2" t="s">
        <v>887</v>
      </c>
      <c r="B462" s="2" t="s">
        <v>929</v>
      </c>
      <c r="C462" s="2"/>
      <c r="D462" s="3" t="b">
        <v>0</v>
      </c>
      <c r="E462" s="3" t="b">
        <v>0</v>
      </c>
      <c r="F462" s="3" t="b">
        <v>1</v>
      </c>
      <c r="G462" s="3" t="b">
        <v>0</v>
      </c>
      <c r="H462" s="7"/>
      <c r="I462" s="3" t="b">
        <v>0</v>
      </c>
      <c r="J462" s="2"/>
      <c r="K462" s="2" t="s">
        <v>875</v>
      </c>
    </row>
    <row r="463" spans="1:11" x14ac:dyDescent="0.3">
      <c r="A463" s="2" t="s">
        <v>436</v>
      </c>
      <c r="B463" s="2" t="s">
        <v>929</v>
      </c>
      <c r="C463" s="2"/>
      <c r="D463" s="3" t="b">
        <v>0</v>
      </c>
      <c r="E463" s="3" t="b">
        <v>0</v>
      </c>
      <c r="F463" s="3" t="b">
        <v>0</v>
      </c>
      <c r="G463" s="3" t="b">
        <v>0</v>
      </c>
      <c r="H463" s="7"/>
      <c r="I463" s="3" t="b">
        <v>0</v>
      </c>
      <c r="J463" s="2"/>
      <c r="K463" s="2" t="s">
        <v>11</v>
      </c>
    </row>
    <row r="464" spans="1:11" x14ac:dyDescent="0.3">
      <c r="A464" s="2" t="s">
        <v>437</v>
      </c>
      <c r="B464" s="2" t="s">
        <v>929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7"/>
      <c r="I464" s="3" t="b">
        <v>0</v>
      </c>
      <c r="J464" s="2"/>
      <c r="K464" s="2" t="s">
        <v>875</v>
      </c>
    </row>
    <row r="465" spans="1:11" x14ac:dyDescent="0.3">
      <c r="A465" s="2" t="s">
        <v>131</v>
      </c>
      <c r="B465" s="2" t="s">
        <v>929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438</v>
      </c>
      <c r="B466" s="2" t="s">
        <v>929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439</v>
      </c>
      <c r="B467" s="2" t="s">
        <v>929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2"/>
      <c r="K467" s="2" t="s">
        <v>11</v>
      </c>
    </row>
    <row r="468" spans="1:11" x14ac:dyDescent="0.3">
      <c r="A468" s="2" t="s">
        <v>912</v>
      </c>
      <c r="B468" s="2" t="s">
        <v>929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875</v>
      </c>
    </row>
    <row r="469" spans="1:11" x14ac:dyDescent="0.3">
      <c r="A469" s="2" t="s">
        <v>902</v>
      </c>
      <c r="B469" s="2" t="s">
        <v>929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875</v>
      </c>
    </row>
    <row r="470" spans="1:11" x14ac:dyDescent="0.3">
      <c r="A470" s="2" t="s">
        <v>913</v>
      </c>
      <c r="B470" s="2" t="s">
        <v>929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875</v>
      </c>
    </row>
    <row r="471" spans="1:11" x14ac:dyDescent="0.3">
      <c r="A471" s="2" t="s">
        <v>925</v>
      </c>
      <c r="B471" s="2" t="s">
        <v>929</v>
      </c>
      <c r="C471" s="2"/>
      <c r="D471" s="3" t="b">
        <v>0</v>
      </c>
      <c r="E471" s="3" t="b">
        <v>1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875</v>
      </c>
    </row>
    <row r="472" spans="1:11" x14ac:dyDescent="0.3">
      <c r="A472" s="2" t="s">
        <v>900</v>
      </c>
      <c r="B472" s="2" t="s">
        <v>929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875</v>
      </c>
    </row>
    <row r="473" spans="1:11" x14ac:dyDescent="0.3">
      <c r="A473" s="2" t="s">
        <v>885</v>
      </c>
      <c r="B473" s="2" t="s">
        <v>929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2"/>
      <c r="K473" s="2" t="s">
        <v>875</v>
      </c>
    </row>
    <row r="474" spans="1:11" x14ac:dyDescent="0.3">
      <c r="A474" s="2" t="s">
        <v>143</v>
      </c>
      <c r="B474" s="2" t="s">
        <v>929</v>
      </c>
      <c r="C474" s="2"/>
      <c r="D474" s="3" t="b">
        <v>0</v>
      </c>
      <c r="E474" s="3" t="b">
        <v>1</v>
      </c>
      <c r="F474" s="3" t="b">
        <v>0</v>
      </c>
      <c r="G474" s="3" t="b">
        <v>0</v>
      </c>
      <c r="H474" s="7" t="s">
        <v>932</v>
      </c>
      <c r="I474" s="3" t="b">
        <v>0</v>
      </c>
      <c r="J474" s="2"/>
      <c r="K474" s="2" t="s">
        <v>875</v>
      </c>
    </row>
    <row r="475" spans="1:11" x14ac:dyDescent="0.3">
      <c r="A475" s="2" t="s">
        <v>440</v>
      </c>
      <c r="B475" s="2" t="s">
        <v>929</v>
      </c>
      <c r="C475" s="2"/>
      <c r="D475" s="3" t="b">
        <v>0</v>
      </c>
      <c r="E475" s="3" t="b">
        <v>0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11</v>
      </c>
    </row>
    <row r="476" spans="1:11" x14ac:dyDescent="0.3">
      <c r="A476" s="2" t="s">
        <v>889</v>
      </c>
      <c r="B476" s="2" t="s">
        <v>929</v>
      </c>
      <c r="C476" s="2"/>
      <c r="D476" s="3" t="b">
        <v>0</v>
      </c>
      <c r="E476" s="3" t="b">
        <v>1</v>
      </c>
      <c r="F476" s="3" t="b">
        <v>0</v>
      </c>
      <c r="G476" s="3" t="b">
        <v>0</v>
      </c>
      <c r="H476" s="7"/>
      <c r="I476" s="3" t="b">
        <v>0</v>
      </c>
      <c r="J476" s="2"/>
      <c r="K476" s="2" t="s">
        <v>875</v>
      </c>
    </row>
    <row r="477" spans="1:11" x14ac:dyDescent="0.3">
      <c r="A477" s="2" t="s">
        <v>920</v>
      </c>
      <c r="B477" s="2" t="s">
        <v>929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875</v>
      </c>
    </row>
    <row r="478" spans="1:11" x14ac:dyDescent="0.3">
      <c r="A478" s="2" t="s">
        <v>910</v>
      </c>
      <c r="B478" s="2" t="s">
        <v>929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7"/>
      <c r="I478" s="3" t="b">
        <v>0</v>
      </c>
      <c r="J478" s="2"/>
      <c r="K478" s="2" t="s">
        <v>875</v>
      </c>
    </row>
    <row r="479" spans="1:11" x14ac:dyDescent="0.3">
      <c r="A479" s="2" t="s">
        <v>441</v>
      </c>
      <c r="B479" s="2" t="s">
        <v>929</v>
      </c>
      <c r="C479" s="2"/>
      <c r="D479" s="3" t="b">
        <v>0</v>
      </c>
      <c r="E479" s="3" t="b">
        <v>0</v>
      </c>
      <c r="F479" s="3" t="b">
        <v>0</v>
      </c>
      <c r="G479" s="3" t="b">
        <v>0</v>
      </c>
      <c r="H479" s="7"/>
      <c r="I479" s="3" t="b">
        <v>0</v>
      </c>
      <c r="J479" s="2"/>
      <c r="K479" s="2" t="s">
        <v>11</v>
      </c>
    </row>
    <row r="480" spans="1:11" x14ac:dyDescent="0.3">
      <c r="A480" s="2" t="s">
        <v>886</v>
      </c>
      <c r="B480" s="2" t="s">
        <v>929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875</v>
      </c>
    </row>
    <row r="481" spans="1:11" x14ac:dyDescent="0.3">
      <c r="A481" s="2" t="s">
        <v>882</v>
      </c>
      <c r="B481" s="2" t="s">
        <v>929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875</v>
      </c>
    </row>
    <row r="482" spans="1:11" x14ac:dyDescent="0.3">
      <c r="A482" s="2" t="s">
        <v>879</v>
      </c>
      <c r="B482" s="2" t="s">
        <v>929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875</v>
      </c>
    </row>
    <row r="483" spans="1:11" x14ac:dyDescent="0.3">
      <c r="A483" s="2" t="s">
        <v>914</v>
      </c>
      <c r="B483" s="2" t="s">
        <v>929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875</v>
      </c>
    </row>
    <row r="484" spans="1:11" x14ac:dyDescent="0.3">
      <c r="A484" s="2" t="s">
        <v>442</v>
      </c>
      <c r="B484" s="2" t="s">
        <v>929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2"/>
      <c r="K484" s="2" t="s">
        <v>875</v>
      </c>
    </row>
    <row r="485" spans="1:11" x14ac:dyDescent="0.3">
      <c r="A485" s="2" t="s">
        <v>443</v>
      </c>
      <c r="B485" s="2" t="s">
        <v>929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444</v>
      </c>
      <c r="B486" s="2" t="s">
        <v>929</v>
      </c>
      <c r="C486" s="2"/>
      <c r="D486" s="3" t="b">
        <v>0</v>
      </c>
      <c r="E486" s="3" t="b">
        <v>0</v>
      </c>
      <c r="F486" s="3" t="b">
        <v>0</v>
      </c>
      <c r="G486" s="3" t="b">
        <v>0</v>
      </c>
      <c r="H486" s="7"/>
      <c r="I486" s="3" t="b">
        <v>0</v>
      </c>
      <c r="J486" s="2"/>
      <c r="K486" s="2" t="s">
        <v>11</v>
      </c>
    </row>
    <row r="487" spans="1:11" x14ac:dyDescent="0.3">
      <c r="A487" s="2" t="s">
        <v>877</v>
      </c>
      <c r="B487" s="2" t="s">
        <v>929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7"/>
      <c r="I487" s="3" t="b">
        <v>0</v>
      </c>
      <c r="J487" s="2"/>
      <c r="K487" s="2" t="s">
        <v>875</v>
      </c>
    </row>
    <row r="488" spans="1:11" x14ac:dyDescent="0.3">
      <c r="A488" s="2" t="s">
        <v>148</v>
      </c>
      <c r="B488" s="2" t="s">
        <v>929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445</v>
      </c>
      <c r="B489" s="2" t="s">
        <v>929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2"/>
      <c r="K489" s="2" t="s">
        <v>11</v>
      </c>
    </row>
    <row r="490" spans="1:11" x14ac:dyDescent="0.3">
      <c r="A490" s="2" t="s">
        <v>446</v>
      </c>
      <c r="B490" s="2" t="s">
        <v>929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875</v>
      </c>
    </row>
    <row r="491" spans="1:11" x14ac:dyDescent="0.3">
      <c r="A491" s="2" t="s">
        <v>899</v>
      </c>
      <c r="B491" s="2" t="s">
        <v>929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875</v>
      </c>
    </row>
    <row r="492" spans="1:11" x14ac:dyDescent="0.3">
      <c r="A492" s="2" t="s">
        <v>447</v>
      </c>
      <c r="B492" s="2" t="s">
        <v>929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875</v>
      </c>
    </row>
    <row r="493" spans="1:11" x14ac:dyDescent="0.3">
      <c r="A493" s="2" t="s">
        <v>895</v>
      </c>
      <c r="B493" s="2" t="s">
        <v>929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875</v>
      </c>
    </row>
    <row r="494" spans="1:11" x14ac:dyDescent="0.3">
      <c r="A494" s="2" t="s">
        <v>918</v>
      </c>
      <c r="B494" s="2" t="s">
        <v>929</v>
      </c>
      <c r="C494" s="2"/>
      <c r="D494" s="3" t="b">
        <v>0</v>
      </c>
      <c r="E494" s="3" t="b">
        <v>1</v>
      </c>
      <c r="F494" s="3" t="b">
        <v>1</v>
      </c>
      <c r="G494" s="3" t="b">
        <v>0</v>
      </c>
      <c r="H494" s="7"/>
      <c r="I494" s="3" t="b">
        <v>0</v>
      </c>
      <c r="J494" s="2"/>
      <c r="K494" s="2" t="s">
        <v>875</v>
      </c>
    </row>
    <row r="495" spans="1:11" x14ac:dyDescent="0.3">
      <c r="A495" s="2" t="s">
        <v>448</v>
      </c>
      <c r="B495" s="2" t="s">
        <v>449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313</v>
      </c>
      <c r="B496" s="2" t="s">
        <v>449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450</v>
      </c>
      <c r="B497" s="2" t="s">
        <v>449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451</v>
      </c>
      <c r="B498" s="2" t="s">
        <v>449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452</v>
      </c>
      <c r="B499" s="2" t="s">
        <v>449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453</v>
      </c>
      <c r="B500" s="2" t="s">
        <v>449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454</v>
      </c>
      <c r="B501" s="2" t="s">
        <v>449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455</v>
      </c>
      <c r="B502" s="2" t="s">
        <v>449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456</v>
      </c>
      <c r="B503" s="2" t="s">
        <v>449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457</v>
      </c>
      <c r="B504" s="2" t="s">
        <v>449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458</v>
      </c>
      <c r="B505" s="2" t="s">
        <v>449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459</v>
      </c>
      <c r="B506" s="2" t="s">
        <v>449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460</v>
      </c>
      <c r="B507" s="2" t="s">
        <v>449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461</v>
      </c>
      <c r="B508" s="2" t="s">
        <v>449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462</v>
      </c>
      <c r="B509" s="2" t="s">
        <v>449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463</v>
      </c>
      <c r="B510" s="2" t="s">
        <v>449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464</v>
      </c>
      <c r="B511" s="2" t="s">
        <v>449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465</v>
      </c>
      <c r="B512" s="2" t="s">
        <v>449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466</v>
      </c>
      <c r="B513" s="2" t="s">
        <v>449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467</v>
      </c>
      <c r="B514" s="2" t="s">
        <v>449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468</v>
      </c>
      <c r="B515" s="2" t="s">
        <v>449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469</v>
      </c>
      <c r="B516" s="2" t="s">
        <v>449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470</v>
      </c>
      <c r="B517" s="2" t="s">
        <v>449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471</v>
      </c>
      <c r="B518" s="2" t="s">
        <v>449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472</v>
      </c>
      <c r="B519" s="2" t="s">
        <v>449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473</v>
      </c>
      <c r="B520" s="2" t="s">
        <v>449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474</v>
      </c>
      <c r="B521" s="2" t="s">
        <v>449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475</v>
      </c>
      <c r="B522" s="2" t="s">
        <v>449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476</v>
      </c>
      <c r="B523" s="2" t="s">
        <v>449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477</v>
      </c>
      <c r="B524" s="2" t="s">
        <v>449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478</v>
      </c>
      <c r="B525" s="2" t="s">
        <v>449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479</v>
      </c>
      <c r="B526" s="2" t="s">
        <v>449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480</v>
      </c>
      <c r="B527" s="2" t="s">
        <v>449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481</v>
      </c>
      <c r="B528" s="2" t="s">
        <v>449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482</v>
      </c>
      <c r="B529" s="2" t="s">
        <v>449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483</v>
      </c>
      <c r="B530" s="2" t="s">
        <v>449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484</v>
      </c>
      <c r="B531" s="2" t="s">
        <v>449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485</v>
      </c>
      <c r="B532" s="2" t="s">
        <v>449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486</v>
      </c>
      <c r="B533" s="2" t="s">
        <v>449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487</v>
      </c>
      <c r="B534" s="2" t="s">
        <v>449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488</v>
      </c>
      <c r="B535" s="2" t="s">
        <v>449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489</v>
      </c>
      <c r="B536" s="2" t="s">
        <v>449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490</v>
      </c>
      <c r="B537" s="2" t="s">
        <v>449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491</v>
      </c>
      <c r="B538" s="2" t="s">
        <v>449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492</v>
      </c>
      <c r="B539" s="2" t="s">
        <v>449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493</v>
      </c>
      <c r="B540" s="2" t="s">
        <v>449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494</v>
      </c>
      <c r="B541" s="2" t="s">
        <v>449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495</v>
      </c>
      <c r="B542" s="2" t="s">
        <v>449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496</v>
      </c>
      <c r="B543" s="2" t="s">
        <v>497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313</v>
      </c>
      <c r="B544" s="2" t="s">
        <v>497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498</v>
      </c>
      <c r="B545" s="2" t="s">
        <v>497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499</v>
      </c>
      <c r="B546" s="2" t="s">
        <v>497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500</v>
      </c>
      <c r="B547" s="2" t="s">
        <v>497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501</v>
      </c>
      <c r="B548" s="2" t="s">
        <v>497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502</v>
      </c>
      <c r="B549" s="2" t="s">
        <v>497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503</v>
      </c>
      <c r="B550" s="2" t="s">
        <v>497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504</v>
      </c>
      <c r="B551" s="2" t="s">
        <v>497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505</v>
      </c>
      <c r="B552" s="2" t="s">
        <v>497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506</v>
      </c>
      <c r="B553" s="2" t="s">
        <v>497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507</v>
      </c>
      <c r="B554" s="2" t="s">
        <v>497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508</v>
      </c>
      <c r="B555" s="2" t="s">
        <v>497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509</v>
      </c>
      <c r="B556" s="2" t="s">
        <v>497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510</v>
      </c>
      <c r="B557" s="2" t="s">
        <v>497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220</v>
      </c>
      <c r="B558" s="2" t="s">
        <v>497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511</v>
      </c>
      <c r="B559" s="2" t="s">
        <v>497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512</v>
      </c>
      <c r="B560" s="2" t="s">
        <v>497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513</v>
      </c>
      <c r="B561" s="2" t="s">
        <v>497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514</v>
      </c>
      <c r="B562" s="2" t="s">
        <v>497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515</v>
      </c>
      <c r="B563" s="2" t="s">
        <v>497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516</v>
      </c>
      <c r="B564" s="2" t="s">
        <v>497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227</v>
      </c>
      <c r="B565" s="2" t="s">
        <v>497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233</v>
      </c>
      <c r="B566" s="2" t="s">
        <v>497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517</v>
      </c>
      <c r="B567" s="2" t="s">
        <v>497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518</v>
      </c>
      <c r="B568" s="2" t="s">
        <v>497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237</v>
      </c>
      <c r="B569" s="2" t="s">
        <v>497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519</v>
      </c>
      <c r="B570" s="2" t="s">
        <v>497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520</v>
      </c>
      <c r="B571" s="2" t="s">
        <v>497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521</v>
      </c>
      <c r="B572" s="2" t="s">
        <v>497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522</v>
      </c>
      <c r="B573" s="2" t="s">
        <v>497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523</v>
      </c>
      <c r="B574" s="2" t="s">
        <v>497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524</v>
      </c>
      <c r="B575" s="2" t="s">
        <v>497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525</v>
      </c>
      <c r="B576" s="2" t="s">
        <v>497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526</v>
      </c>
      <c r="B577" s="2" t="s">
        <v>497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527</v>
      </c>
      <c r="B578" s="2" t="s">
        <v>497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528</v>
      </c>
      <c r="B579" s="2" t="s">
        <v>497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529</v>
      </c>
      <c r="B580" s="2" t="s">
        <v>497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530</v>
      </c>
      <c r="B581" s="2" t="s">
        <v>497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531</v>
      </c>
      <c r="B582" s="2" t="s">
        <v>497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532</v>
      </c>
      <c r="B583" s="2" t="s">
        <v>497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533</v>
      </c>
      <c r="B584" s="2" t="s">
        <v>497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534</v>
      </c>
      <c r="B585" s="2" t="s">
        <v>497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535</v>
      </c>
      <c r="B586" s="2" t="s">
        <v>497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536</v>
      </c>
      <c r="B587" s="2" t="s">
        <v>497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537</v>
      </c>
      <c r="B588" s="2" t="s">
        <v>497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538</v>
      </c>
      <c r="B589" s="2" t="s">
        <v>497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539</v>
      </c>
      <c r="B590" s="2" t="s">
        <v>497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540</v>
      </c>
      <c r="B591" s="2" t="s">
        <v>497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541</v>
      </c>
      <c r="B592" s="2" t="s">
        <v>497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542</v>
      </c>
      <c r="B593" s="2" t="s">
        <v>497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543</v>
      </c>
      <c r="B594" s="2" t="s">
        <v>544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545</v>
      </c>
      <c r="B595" s="2" t="s">
        <v>544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546</v>
      </c>
      <c r="B596" s="2" t="s">
        <v>544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547</v>
      </c>
      <c r="B597" s="2" t="s">
        <v>544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548</v>
      </c>
      <c r="B598" s="2" t="s">
        <v>544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549</v>
      </c>
      <c r="B599" s="2" t="s">
        <v>544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550</v>
      </c>
      <c r="B600" s="2" t="s">
        <v>544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551</v>
      </c>
      <c r="B601" s="2" t="s">
        <v>544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552</v>
      </c>
      <c r="B602" s="2" t="s">
        <v>544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553</v>
      </c>
      <c r="B603" s="2" t="s">
        <v>544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554</v>
      </c>
      <c r="B604" s="2" t="s">
        <v>544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555</v>
      </c>
      <c r="B605" s="2" t="s">
        <v>544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556</v>
      </c>
      <c r="B606" s="2" t="s">
        <v>544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557</v>
      </c>
      <c r="B607" s="2" t="s">
        <v>544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558</v>
      </c>
      <c r="B608" s="2" t="s">
        <v>544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559</v>
      </c>
      <c r="B609" s="2" t="s">
        <v>544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560</v>
      </c>
      <c r="B610" s="2" t="s">
        <v>544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561</v>
      </c>
      <c r="B611" s="2" t="s">
        <v>544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562</v>
      </c>
      <c r="B612" s="2" t="s">
        <v>544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563</v>
      </c>
      <c r="B613" s="2" t="s">
        <v>544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564</v>
      </c>
      <c r="B614" s="2" t="s">
        <v>544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565</v>
      </c>
      <c r="B615" s="2" t="s">
        <v>544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566</v>
      </c>
      <c r="B616" s="2" t="s">
        <v>544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567</v>
      </c>
      <c r="B617" s="2" t="s">
        <v>544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568</v>
      </c>
      <c r="B618" s="2" t="s">
        <v>544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569</v>
      </c>
      <c r="B619" s="2" t="s">
        <v>544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570</v>
      </c>
      <c r="B620" s="2" t="s">
        <v>544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571</v>
      </c>
      <c r="B621" s="2" t="s">
        <v>544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572</v>
      </c>
      <c r="B622" s="2" t="s">
        <v>544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573</v>
      </c>
      <c r="B623" s="2" t="s">
        <v>544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574</v>
      </c>
      <c r="B624" s="2" t="s">
        <v>544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575</v>
      </c>
      <c r="B625" s="2" t="s">
        <v>544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576</v>
      </c>
      <c r="B626" s="2" t="s">
        <v>544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577</v>
      </c>
      <c r="B627" s="2" t="s">
        <v>544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578</v>
      </c>
      <c r="B628" s="2" t="s">
        <v>544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579</v>
      </c>
      <c r="B629" s="2" t="s">
        <v>544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580</v>
      </c>
      <c r="B630" s="2" t="s">
        <v>544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581</v>
      </c>
      <c r="B631" s="2" t="s">
        <v>544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582</v>
      </c>
      <c r="B632" s="2" t="s">
        <v>544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583</v>
      </c>
      <c r="B633" s="2" t="s">
        <v>544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584</v>
      </c>
      <c r="B634" s="2" t="s">
        <v>544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585</v>
      </c>
      <c r="B635" s="2" t="s">
        <v>544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586</v>
      </c>
      <c r="B636" s="2" t="s">
        <v>544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587</v>
      </c>
      <c r="B637" s="2" t="s">
        <v>544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588</v>
      </c>
      <c r="B638" s="2" t="s">
        <v>544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589</v>
      </c>
      <c r="B639" s="2" t="s">
        <v>544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590</v>
      </c>
      <c r="B640" s="2" t="s">
        <v>544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591</v>
      </c>
      <c r="B641" s="2" t="s">
        <v>544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592</v>
      </c>
      <c r="B642" s="2" t="s">
        <v>544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593</v>
      </c>
      <c r="B643" s="2" t="s">
        <v>544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594</v>
      </c>
      <c r="B644" s="2" t="s">
        <v>544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595</v>
      </c>
      <c r="B645" s="2" t="s">
        <v>544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596</v>
      </c>
      <c r="B646" s="2" t="s">
        <v>544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597</v>
      </c>
      <c r="B647" s="2" t="s">
        <v>544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876</v>
      </c>
      <c r="B648" s="2" t="s">
        <v>598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2"/>
      <c r="K648" s="2" t="s">
        <v>11</v>
      </c>
    </row>
    <row r="649" spans="1:11" x14ac:dyDescent="0.3">
      <c r="A649" s="2" t="s">
        <v>599</v>
      </c>
      <c r="B649" s="2" t="s">
        <v>598</v>
      </c>
      <c r="C649" s="2"/>
      <c r="D649" s="3" t="b">
        <v>1</v>
      </c>
      <c r="E649" s="3" t="b">
        <v>0</v>
      </c>
      <c r="F649" s="3" t="b">
        <v>0</v>
      </c>
      <c r="G649" s="3" t="b">
        <v>0</v>
      </c>
      <c r="H649" s="7" t="s">
        <v>931</v>
      </c>
      <c r="I649" s="3" t="b">
        <v>0</v>
      </c>
      <c r="J649" s="2"/>
      <c r="K649" s="2" t="s">
        <v>11</v>
      </c>
    </row>
    <row r="650" spans="1:11" x14ac:dyDescent="0.3">
      <c r="A650" s="2" t="s">
        <v>600</v>
      </c>
      <c r="B650" s="2" t="s">
        <v>598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601</v>
      </c>
      <c r="B651" s="2" t="s">
        <v>598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602</v>
      </c>
      <c r="B652" s="2" t="s">
        <v>598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603</v>
      </c>
      <c r="B653" s="2" t="s">
        <v>598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604</v>
      </c>
      <c r="B654" s="2" t="s">
        <v>598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605</v>
      </c>
      <c r="B655" s="2" t="s">
        <v>598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606</v>
      </c>
      <c r="B656" s="2" t="s">
        <v>598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607</v>
      </c>
      <c r="B657" s="2" t="s">
        <v>598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608</v>
      </c>
      <c r="B658" s="2" t="s">
        <v>598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609</v>
      </c>
      <c r="B659" s="2" t="s">
        <v>598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610</v>
      </c>
      <c r="B660" s="2" t="s">
        <v>598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611</v>
      </c>
      <c r="B661" s="2" t="s">
        <v>598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2"/>
      <c r="K661" s="2" t="s">
        <v>11</v>
      </c>
    </row>
    <row r="662" spans="1:11" x14ac:dyDescent="0.3">
      <c r="A662" s="2" t="s">
        <v>612</v>
      </c>
      <c r="B662" s="2" t="s">
        <v>598</v>
      </c>
      <c r="C662" s="2"/>
      <c r="D662" s="3" t="b">
        <v>1</v>
      </c>
      <c r="E662" s="3" t="b">
        <v>0</v>
      </c>
      <c r="F662" s="3" t="b">
        <v>0</v>
      </c>
      <c r="G662" s="3" t="b">
        <v>0</v>
      </c>
      <c r="H662" s="7" t="s">
        <v>931</v>
      </c>
      <c r="I662" s="3" t="b">
        <v>0</v>
      </c>
      <c r="J662" s="2"/>
      <c r="K662" s="2" t="s">
        <v>11</v>
      </c>
    </row>
    <row r="663" spans="1:11" x14ac:dyDescent="0.3">
      <c r="A663" s="2" t="s">
        <v>613</v>
      </c>
      <c r="B663" s="2" t="s">
        <v>598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614</v>
      </c>
      <c r="B664" s="2" t="s">
        <v>598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615</v>
      </c>
      <c r="B665" s="2" t="s">
        <v>598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616</v>
      </c>
      <c r="B666" s="2" t="s">
        <v>598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617</v>
      </c>
      <c r="B667" s="2" t="s">
        <v>598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618</v>
      </c>
      <c r="B668" s="2" t="s">
        <v>598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619</v>
      </c>
      <c r="B669" s="2" t="s">
        <v>598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620</v>
      </c>
      <c r="B670" s="2" t="s">
        <v>598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621</v>
      </c>
      <c r="B671" s="2" t="s">
        <v>598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622</v>
      </c>
      <c r="B672" s="2" t="s">
        <v>598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623</v>
      </c>
      <c r="B673" s="2" t="s">
        <v>598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26</v>
      </c>
      <c r="B674" s="2" t="s">
        <v>598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624</v>
      </c>
      <c r="B675" s="2" t="s">
        <v>598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625</v>
      </c>
      <c r="B676" s="2" t="s">
        <v>598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626</v>
      </c>
      <c r="B677" s="2" t="s">
        <v>598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627</v>
      </c>
      <c r="B678" s="2" t="s">
        <v>598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628</v>
      </c>
      <c r="B679" s="2" t="s">
        <v>598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629</v>
      </c>
      <c r="B680" s="2" t="s">
        <v>598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630</v>
      </c>
      <c r="B681" s="2" t="s">
        <v>598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2"/>
      <c r="K681" s="2" t="s">
        <v>11</v>
      </c>
    </row>
    <row r="682" spans="1:11" x14ac:dyDescent="0.3">
      <c r="A682" s="2" t="s">
        <v>631</v>
      </c>
      <c r="B682" s="2" t="s">
        <v>598</v>
      </c>
      <c r="C682" s="2"/>
      <c r="D682" s="3" t="b">
        <v>1</v>
      </c>
      <c r="E682" s="3" t="b">
        <v>0</v>
      </c>
      <c r="F682" s="3" t="b">
        <v>0</v>
      </c>
      <c r="G682" s="3" t="b">
        <v>0</v>
      </c>
      <c r="H682" s="7" t="s">
        <v>931</v>
      </c>
      <c r="I682" s="3" t="b">
        <v>0</v>
      </c>
      <c r="J682" s="2"/>
      <c r="K682" s="2" t="s">
        <v>875</v>
      </c>
    </row>
    <row r="683" spans="1:11" x14ac:dyDescent="0.3">
      <c r="A683" s="2" t="s">
        <v>632</v>
      </c>
      <c r="B683" s="2" t="s">
        <v>598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633</v>
      </c>
      <c r="B684" s="2" t="s">
        <v>598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346</v>
      </c>
      <c r="B685" s="2" t="s">
        <v>598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634</v>
      </c>
      <c r="B686" s="2" t="s">
        <v>598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635</v>
      </c>
      <c r="B687" s="2" t="s">
        <v>598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636</v>
      </c>
      <c r="B688" s="2" t="s">
        <v>598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637</v>
      </c>
      <c r="B689" s="2" t="s">
        <v>598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37</v>
      </c>
      <c r="B690" s="2" t="s">
        <v>598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638</v>
      </c>
      <c r="B691" s="2" t="s">
        <v>598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2"/>
      <c r="K691" s="2" t="s">
        <v>11</v>
      </c>
    </row>
    <row r="692" spans="1:11" x14ac:dyDescent="0.3">
      <c r="A692" s="2" t="s">
        <v>639</v>
      </c>
      <c r="B692" s="2" t="s">
        <v>598</v>
      </c>
      <c r="C692" s="2"/>
      <c r="D692" s="3" t="b">
        <v>1</v>
      </c>
      <c r="E692" s="3" t="b">
        <v>0</v>
      </c>
      <c r="F692" s="3" t="b">
        <v>0</v>
      </c>
      <c r="G692" s="3" t="b">
        <v>0</v>
      </c>
      <c r="H692" s="7" t="s">
        <v>931</v>
      </c>
      <c r="I692" s="3" t="b">
        <v>0</v>
      </c>
      <c r="J692" s="2"/>
      <c r="K692" s="2" t="s">
        <v>875</v>
      </c>
    </row>
    <row r="693" spans="1:11" x14ac:dyDescent="0.3">
      <c r="A693" s="2" t="s">
        <v>640</v>
      </c>
      <c r="B693" s="2" t="s">
        <v>598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641</v>
      </c>
      <c r="B694" s="2" t="s">
        <v>598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642</v>
      </c>
      <c r="B695" s="2" t="s">
        <v>598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643</v>
      </c>
      <c r="B696" s="2" t="s">
        <v>598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644</v>
      </c>
      <c r="B697" s="2" t="s">
        <v>598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2"/>
      <c r="K697" s="2" t="s">
        <v>11</v>
      </c>
    </row>
    <row r="698" spans="1:11" x14ac:dyDescent="0.3">
      <c r="A698" s="2" t="s">
        <v>645</v>
      </c>
      <c r="B698" s="2" t="s">
        <v>598</v>
      </c>
      <c r="C698" s="2"/>
      <c r="D698" s="3" t="b">
        <v>1</v>
      </c>
      <c r="E698" s="3" t="b">
        <v>0</v>
      </c>
      <c r="F698" s="3" t="b">
        <v>0</v>
      </c>
      <c r="G698" s="3" t="b">
        <v>0</v>
      </c>
      <c r="H698" s="7" t="s">
        <v>931</v>
      </c>
      <c r="I698" s="3" t="b">
        <v>0</v>
      </c>
      <c r="J698" s="2"/>
      <c r="K698" s="2" t="s">
        <v>875</v>
      </c>
    </row>
    <row r="699" spans="1:11" x14ac:dyDescent="0.3">
      <c r="A699" s="2" t="s">
        <v>646</v>
      </c>
      <c r="B699" s="2" t="s">
        <v>647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648</v>
      </c>
      <c r="B700" s="2" t="s">
        <v>647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649</v>
      </c>
      <c r="B701" s="2" t="s">
        <v>647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2"/>
      <c r="K701" s="2" t="s">
        <v>11</v>
      </c>
    </row>
    <row r="702" spans="1:11" x14ac:dyDescent="0.3">
      <c r="A702" s="2" t="s">
        <v>874</v>
      </c>
      <c r="B702" s="2" t="s">
        <v>647</v>
      </c>
      <c r="C702" s="2"/>
      <c r="D702" s="3" t="b">
        <v>1</v>
      </c>
      <c r="E702" s="3" t="b">
        <v>1</v>
      </c>
      <c r="F702" s="3" t="b">
        <v>0</v>
      </c>
      <c r="G702" s="3" t="b">
        <v>0</v>
      </c>
      <c r="H702" s="7" t="s">
        <v>937</v>
      </c>
      <c r="I702" s="3" t="b">
        <v>1</v>
      </c>
      <c r="J702" s="2"/>
      <c r="K702" s="2" t="s">
        <v>875</v>
      </c>
    </row>
    <row r="703" spans="1:11" x14ac:dyDescent="0.3">
      <c r="A703" s="2" t="s">
        <v>45</v>
      </c>
      <c r="B703" s="2" t="s">
        <v>647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650</v>
      </c>
      <c r="B704" s="2" t="s">
        <v>647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651</v>
      </c>
      <c r="B705" s="2" t="s">
        <v>647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2"/>
      <c r="K705" s="2" t="s">
        <v>11</v>
      </c>
    </row>
    <row r="706" spans="1:11" x14ac:dyDescent="0.3">
      <c r="A706" s="2" t="s">
        <v>909</v>
      </c>
      <c r="B706" s="2" t="s">
        <v>647</v>
      </c>
      <c r="C706" s="2"/>
      <c r="D706" s="3" t="b">
        <v>0</v>
      </c>
      <c r="E706" s="3" t="b">
        <v>0</v>
      </c>
      <c r="F706" s="3" t="b">
        <v>1</v>
      </c>
      <c r="G706" s="3" t="b">
        <v>0</v>
      </c>
      <c r="H706" s="7"/>
      <c r="I706" s="3" t="b">
        <v>0</v>
      </c>
      <c r="J706" s="2"/>
      <c r="K706" s="2" t="s">
        <v>875</v>
      </c>
    </row>
    <row r="707" spans="1:11" x14ac:dyDescent="0.3">
      <c r="A707" s="2" t="s">
        <v>652</v>
      </c>
      <c r="B707" s="2" t="s">
        <v>647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653</v>
      </c>
      <c r="B708" s="2" t="s">
        <v>647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654</v>
      </c>
      <c r="B709" s="2" t="s">
        <v>647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655</v>
      </c>
      <c r="B710" s="2" t="s">
        <v>647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656</v>
      </c>
      <c r="B711" s="2" t="s">
        <v>647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657</v>
      </c>
      <c r="B712" s="2" t="s">
        <v>647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658</v>
      </c>
      <c r="B713" s="2" t="s">
        <v>647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659</v>
      </c>
      <c r="B714" s="2" t="s">
        <v>647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660</v>
      </c>
      <c r="B715" s="2" t="s">
        <v>647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661</v>
      </c>
      <c r="B716" s="2" t="s">
        <v>647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662</v>
      </c>
      <c r="B717" s="2" t="s">
        <v>647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663</v>
      </c>
      <c r="B718" s="2" t="s">
        <v>647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664</v>
      </c>
      <c r="B719" s="2" t="s">
        <v>647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328</v>
      </c>
      <c r="B720" s="2" t="s">
        <v>647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665</v>
      </c>
      <c r="B721" s="2" t="s">
        <v>647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666</v>
      </c>
      <c r="B722" s="2" t="s">
        <v>647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667</v>
      </c>
      <c r="B723" s="2" t="s">
        <v>647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668</v>
      </c>
      <c r="B724" s="2" t="s">
        <v>647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669</v>
      </c>
      <c r="B725" s="2" t="s">
        <v>647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670</v>
      </c>
      <c r="B726" s="2" t="s">
        <v>647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671</v>
      </c>
      <c r="B727" s="2" t="s">
        <v>647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672</v>
      </c>
      <c r="B728" s="2" t="s">
        <v>647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673</v>
      </c>
      <c r="B729" s="2" t="s">
        <v>647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2"/>
      <c r="K729" s="2" t="s">
        <v>11</v>
      </c>
    </row>
    <row r="730" spans="1:11" x14ac:dyDescent="0.3">
      <c r="A730" s="2" t="s">
        <v>938</v>
      </c>
      <c r="B730" s="2" t="s">
        <v>647</v>
      </c>
      <c r="C730" s="2"/>
      <c r="D730" s="3" t="b">
        <v>0</v>
      </c>
      <c r="E730" s="3" t="b">
        <v>0</v>
      </c>
      <c r="F730" s="3" t="b">
        <v>1</v>
      </c>
      <c r="G730" s="3" t="b">
        <v>0</v>
      </c>
      <c r="H730" s="7" t="s">
        <v>937</v>
      </c>
      <c r="I730" s="3" t="b">
        <v>1</v>
      </c>
      <c r="J730" s="2"/>
      <c r="K730" s="2" t="s">
        <v>875</v>
      </c>
    </row>
    <row r="731" spans="1:11" x14ac:dyDescent="0.3">
      <c r="A731" s="2" t="s">
        <v>674</v>
      </c>
      <c r="B731" s="2" t="s">
        <v>647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675</v>
      </c>
      <c r="B732" s="2" t="s">
        <v>647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676</v>
      </c>
      <c r="B733" s="2" t="s">
        <v>647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677</v>
      </c>
      <c r="B734" s="2" t="s">
        <v>647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678</v>
      </c>
      <c r="B735" s="2" t="s">
        <v>647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679</v>
      </c>
      <c r="B736" s="2" t="s">
        <v>647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680</v>
      </c>
      <c r="B737" s="2" t="s">
        <v>647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681</v>
      </c>
      <c r="B738" s="2" t="s">
        <v>647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682</v>
      </c>
      <c r="B739" s="2" t="s">
        <v>647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683</v>
      </c>
      <c r="B740" s="2" t="s">
        <v>647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684</v>
      </c>
      <c r="B741" s="2" t="s">
        <v>647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685</v>
      </c>
      <c r="B742" s="2" t="s">
        <v>647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686</v>
      </c>
      <c r="B743" s="2" t="s">
        <v>647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687</v>
      </c>
      <c r="B744" s="2" t="s">
        <v>647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688</v>
      </c>
      <c r="B745" s="2" t="s">
        <v>647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689</v>
      </c>
      <c r="B746" s="2" t="s">
        <v>647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690</v>
      </c>
      <c r="B747" s="2" t="s">
        <v>647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691</v>
      </c>
      <c r="B748" s="2" t="s">
        <v>647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692</v>
      </c>
      <c r="B749" s="2" t="s">
        <v>647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693</v>
      </c>
      <c r="B750" s="2" t="s">
        <v>647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694</v>
      </c>
      <c r="B751" s="2" t="s">
        <v>647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695</v>
      </c>
      <c r="B752" s="2" t="s">
        <v>696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697</v>
      </c>
      <c r="B753" s="2" t="s">
        <v>696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698</v>
      </c>
      <c r="B754" s="2" t="s">
        <v>696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699</v>
      </c>
      <c r="B755" s="2" t="s">
        <v>696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700</v>
      </c>
      <c r="B756" s="2" t="s">
        <v>696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701</v>
      </c>
      <c r="B757" s="2" t="s">
        <v>696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702</v>
      </c>
      <c r="B758" s="2" t="s">
        <v>696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2"/>
      <c r="K758" s="2" t="s">
        <v>11</v>
      </c>
    </row>
    <row r="759" spans="1:11" x14ac:dyDescent="0.3">
      <c r="A759" s="2" t="s">
        <v>703</v>
      </c>
      <c r="B759" s="2" t="s">
        <v>696</v>
      </c>
      <c r="C759" s="2"/>
      <c r="D759" s="3" t="b">
        <v>0</v>
      </c>
      <c r="E759" s="3" t="b">
        <v>0</v>
      </c>
      <c r="F759" s="3" t="b">
        <v>1</v>
      </c>
      <c r="G759" s="3" t="b">
        <v>0</v>
      </c>
      <c r="H759" s="7"/>
      <c r="I759" s="3" t="b">
        <v>0</v>
      </c>
      <c r="J759" s="2"/>
      <c r="K759" s="2" t="s">
        <v>875</v>
      </c>
    </row>
    <row r="760" spans="1:11" x14ac:dyDescent="0.3">
      <c r="A760" s="2" t="s">
        <v>704</v>
      </c>
      <c r="B760" s="2" t="s">
        <v>696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705</v>
      </c>
      <c r="B761" s="2" t="s">
        <v>696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706</v>
      </c>
      <c r="B762" s="2" t="s">
        <v>696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707</v>
      </c>
      <c r="B763" s="2" t="s">
        <v>696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708</v>
      </c>
      <c r="B764" s="2" t="s">
        <v>696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709</v>
      </c>
      <c r="B765" s="2" t="s">
        <v>696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710</v>
      </c>
      <c r="B766" s="2" t="s">
        <v>696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711</v>
      </c>
      <c r="B767" s="2" t="s">
        <v>696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712</v>
      </c>
      <c r="B768" s="2" t="s">
        <v>696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713</v>
      </c>
      <c r="B769" s="2" t="s">
        <v>696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714</v>
      </c>
      <c r="B770" s="2" t="s">
        <v>696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715</v>
      </c>
      <c r="B771" s="2" t="s">
        <v>696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716</v>
      </c>
      <c r="B772" s="2" t="s">
        <v>696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717</v>
      </c>
      <c r="B773" s="2" t="s">
        <v>696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718</v>
      </c>
      <c r="B774" s="2" t="s">
        <v>696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719</v>
      </c>
      <c r="B775" s="2" t="s">
        <v>696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720</v>
      </c>
      <c r="B776" s="2" t="s">
        <v>696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721</v>
      </c>
      <c r="B777" s="2" t="s">
        <v>696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722</v>
      </c>
      <c r="B778" s="2" t="s">
        <v>696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723</v>
      </c>
      <c r="B779" s="2" t="s">
        <v>696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724</v>
      </c>
      <c r="B780" s="2" t="s">
        <v>696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725</v>
      </c>
      <c r="B781" s="2" t="s">
        <v>696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726</v>
      </c>
      <c r="B782" s="2" t="s">
        <v>696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727</v>
      </c>
      <c r="B783" s="2" t="s">
        <v>696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2"/>
      <c r="K783" s="2" t="s">
        <v>11</v>
      </c>
    </row>
    <row r="784" spans="1:11" x14ac:dyDescent="0.3">
      <c r="A784" s="2" t="s">
        <v>887</v>
      </c>
      <c r="B784" s="2" t="s">
        <v>696</v>
      </c>
      <c r="C784" s="2"/>
      <c r="D784" s="3" t="b">
        <v>0</v>
      </c>
      <c r="E784" s="3" t="b">
        <v>0</v>
      </c>
      <c r="F784" s="3" t="b">
        <v>1</v>
      </c>
      <c r="G784" s="3" t="b">
        <v>0</v>
      </c>
      <c r="H784" s="7"/>
      <c r="I784" s="3" t="b">
        <v>0</v>
      </c>
      <c r="J784" s="2"/>
      <c r="K784" s="2" t="s">
        <v>875</v>
      </c>
    </row>
    <row r="785" spans="1:11" x14ac:dyDescent="0.3">
      <c r="A785" s="2" t="s">
        <v>728</v>
      </c>
      <c r="B785" s="2" t="s">
        <v>696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729</v>
      </c>
      <c r="B786" s="2" t="s">
        <v>696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730</v>
      </c>
      <c r="B787" s="2" t="s">
        <v>696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731</v>
      </c>
      <c r="B788" s="2" t="s">
        <v>696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732</v>
      </c>
      <c r="B789" s="2" t="s">
        <v>696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733</v>
      </c>
      <c r="B790" s="2" t="s">
        <v>696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734</v>
      </c>
      <c r="B791" s="2" t="s">
        <v>696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735</v>
      </c>
      <c r="B792" s="2" t="s">
        <v>696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736</v>
      </c>
      <c r="B793" s="2" t="s">
        <v>696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737</v>
      </c>
      <c r="B794" s="2" t="s">
        <v>696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738</v>
      </c>
      <c r="B795" s="2" t="s">
        <v>696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739</v>
      </c>
      <c r="B796" s="2" t="s">
        <v>696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740</v>
      </c>
      <c r="B797" s="2" t="s">
        <v>696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741</v>
      </c>
      <c r="B798" s="2" t="s">
        <v>696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742</v>
      </c>
      <c r="B799" s="2" t="s">
        <v>696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743</v>
      </c>
      <c r="B800" s="2" t="s">
        <v>696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744</v>
      </c>
      <c r="B801" s="2" t="s">
        <v>696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745</v>
      </c>
      <c r="B802" s="2" t="s">
        <v>696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648</v>
      </c>
      <c r="B803" s="2" t="s">
        <v>746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747</v>
      </c>
      <c r="B804" s="2" t="s">
        <v>746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208</v>
      </c>
      <c r="B805" s="2" t="s">
        <v>746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748</v>
      </c>
      <c r="B806" s="2" t="s">
        <v>746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749</v>
      </c>
      <c r="B807" s="2" t="s">
        <v>746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214</v>
      </c>
      <c r="B808" s="2" t="s">
        <v>746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216</v>
      </c>
      <c r="B809" s="2" t="s">
        <v>746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656</v>
      </c>
      <c r="B810" s="2" t="s">
        <v>746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750</v>
      </c>
      <c r="B811" s="2" t="s">
        <v>746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19</v>
      </c>
      <c r="B812" s="2" t="s">
        <v>746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751</v>
      </c>
      <c r="B813" s="2" t="s">
        <v>746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325</v>
      </c>
      <c r="B814" s="2" t="s">
        <v>746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752</v>
      </c>
      <c r="B815" s="2" t="s">
        <v>746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753</v>
      </c>
      <c r="B816" s="2" t="s">
        <v>746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754</v>
      </c>
      <c r="B817" s="2" t="s">
        <v>746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755</v>
      </c>
      <c r="B818" s="2" t="s">
        <v>746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22</v>
      </c>
      <c r="B819" s="2" t="s">
        <v>746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756</v>
      </c>
      <c r="B820" s="2" t="s">
        <v>746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757</v>
      </c>
      <c r="B821" s="2" t="s">
        <v>746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23</v>
      </c>
      <c r="B822" s="2" t="s">
        <v>746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758</v>
      </c>
      <c r="B823" s="2" t="s">
        <v>746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759</v>
      </c>
      <c r="B824" s="2" t="s">
        <v>746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760</v>
      </c>
      <c r="B825" s="2" t="s">
        <v>746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761</v>
      </c>
      <c r="B826" s="2" t="s">
        <v>746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233</v>
      </c>
      <c r="B827" s="2" t="s">
        <v>746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762</v>
      </c>
      <c r="B828" s="2" t="s">
        <v>746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28</v>
      </c>
      <c r="B829" s="2" t="s">
        <v>746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626</v>
      </c>
      <c r="B830" s="2" t="s">
        <v>746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763</v>
      </c>
      <c r="B831" s="2" t="s">
        <v>746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764</v>
      </c>
      <c r="B832" s="2" t="s">
        <v>746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342</v>
      </c>
      <c r="B833" s="2" t="s">
        <v>746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765</v>
      </c>
      <c r="B834" s="2" t="s">
        <v>746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480</v>
      </c>
      <c r="B835" s="2" t="s">
        <v>746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30</v>
      </c>
      <c r="B836" s="2" t="s">
        <v>746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766</v>
      </c>
      <c r="B837" s="2" t="s">
        <v>746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32</v>
      </c>
      <c r="B838" s="2" t="s">
        <v>746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767</v>
      </c>
      <c r="B839" s="2" t="s">
        <v>746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34</v>
      </c>
      <c r="B840" s="2" t="s">
        <v>746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768</v>
      </c>
      <c r="B841" s="2" t="s">
        <v>746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35</v>
      </c>
      <c r="B842" s="2" t="s">
        <v>746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769</v>
      </c>
      <c r="B843" s="2" t="s">
        <v>746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770</v>
      </c>
      <c r="B844" s="2" t="s">
        <v>746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37</v>
      </c>
      <c r="B845" s="2" t="s">
        <v>746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38</v>
      </c>
      <c r="B846" s="2" t="s">
        <v>746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639</v>
      </c>
      <c r="B847" s="2" t="s">
        <v>746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771</v>
      </c>
      <c r="B848" s="2" t="s">
        <v>746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772</v>
      </c>
      <c r="B849" s="2" t="s">
        <v>746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773</v>
      </c>
      <c r="B850" s="2" t="s">
        <v>746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876</v>
      </c>
      <c r="B851" s="2" t="s">
        <v>746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42</v>
      </c>
      <c r="B852" s="2" t="s">
        <v>746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774</v>
      </c>
      <c r="B853" s="2" t="s">
        <v>775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776</v>
      </c>
      <c r="B854" s="2" t="s">
        <v>775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777</v>
      </c>
      <c r="B855" s="2" t="s">
        <v>775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778</v>
      </c>
      <c r="B856" s="2" t="s">
        <v>775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779</v>
      </c>
      <c r="B857" s="2" t="s">
        <v>775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780</v>
      </c>
      <c r="B858" s="2" t="s">
        <v>775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781</v>
      </c>
      <c r="B859" s="2" t="s">
        <v>775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782</v>
      </c>
      <c r="B860" s="2" t="s">
        <v>775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783</v>
      </c>
      <c r="B861" s="2" t="s">
        <v>775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784</v>
      </c>
      <c r="B862" s="2" t="s">
        <v>775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785</v>
      </c>
      <c r="B863" s="2" t="s">
        <v>775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786</v>
      </c>
      <c r="B864" s="2" t="s">
        <v>775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787</v>
      </c>
      <c r="B865" s="2" t="s">
        <v>775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788</v>
      </c>
      <c r="B866" s="2" t="s">
        <v>775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789</v>
      </c>
      <c r="B867" s="2" t="s">
        <v>775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790</v>
      </c>
      <c r="B868" s="2" t="s">
        <v>775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791</v>
      </c>
      <c r="B869" s="2" t="s">
        <v>775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792</v>
      </c>
      <c r="B870" s="2" t="s">
        <v>775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793</v>
      </c>
      <c r="B871" s="2" t="s">
        <v>775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794</v>
      </c>
      <c r="B872" s="2" t="s">
        <v>775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795</v>
      </c>
      <c r="B873" s="2" t="s">
        <v>775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796</v>
      </c>
      <c r="B874" s="2" t="s">
        <v>775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797</v>
      </c>
      <c r="B875" s="2" t="s">
        <v>775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798</v>
      </c>
      <c r="B876" s="2" t="s">
        <v>775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799</v>
      </c>
      <c r="B877" s="2" t="s">
        <v>775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800</v>
      </c>
      <c r="B878" s="2" t="s">
        <v>775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801</v>
      </c>
      <c r="B879" s="2" t="s">
        <v>775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802</v>
      </c>
      <c r="B880" s="2" t="s">
        <v>775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803</v>
      </c>
      <c r="B881" s="2" t="s">
        <v>775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804</v>
      </c>
      <c r="B882" s="2" t="s">
        <v>775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805</v>
      </c>
      <c r="B883" s="2" t="s">
        <v>775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806</v>
      </c>
      <c r="B884" s="2" t="s">
        <v>775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807</v>
      </c>
      <c r="B885" s="2" t="s">
        <v>775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808</v>
      </c>
      <c r="B886" s="2" t="s">
        <v>775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809</v>
      </c>
      <c r="B887" s="2" t="s">
        <v>775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810</v>
      </c>
      <c r="B888" s="2" t="s">
        <v>775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811</v>
      </c>
      <c r="B889" s="2" t="s">
        <v>775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812</v>
      </c>
      <c r="B890" s="2" t="s">
        <v>775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813</v>
      </c>
      <c r="B891" s="2" t="s">
        <v>775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814</v>
      </c>
      <c r="B892" s="2" t="s">
        <v>775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815</v>
      </c>
      <c r="B893" s="2" t="s">
        <v>775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816</v>
      </c>
      <c r="B894" s="2" t="s">
        <v>775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817</v>
      </c>
      <c r="B895" s="2" t="s">
        <v>775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818</v>
      </c>
      <c r="B896" s="2" t="s">
        <v>775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819</v>
      </c>
      <c r="B897" s="2" t="s">
        <v>775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820</v>
      </c>
      <c r="B898" s="2" t="s">
        <v>775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821</v>
      </c>
      <c r="B899" s="2" t="s">
        <v>822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823</v>
      </c>
      <c r="B900" s="2" t="s">
        <v>822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824</v>
      </c>
      <c r="B901" s="2" t="s">
        <v>822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825</v>
      </c>
      <c r="B902" s="2" t="s">
        <v>822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826</v>
      </c>
      <c r="B903" s="2" t="s">
        <v>822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827</v>
      </c>
      <c r="B904" s="2" t="s">
        <v>822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828</v>
      </c>
      <c r="B905" s="2" t="s">
        <v>822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829</v>
      </c>
      <c r="B906" s="2" t="s">
        <v>822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830</v>
      </c>
      <c r="B907" s="2" t="s">
        <v>822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831</v>
      </c>
      <c r="B908" s="2" t="s">
        <v>822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832</v>
      </c>
      <c r="B909" s="2" t="s">
        <v>822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833</v>
      </c>
      <c r="B910" s="2" t="s">
        <v>822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834</v>
      </c>
      <c r="B911" s="2" t="s">
        <v>822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835</v>
      </c>
      <c r="B912" s="2" t="s">
        <v>822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836</v>
      </c>
      <c r="B913" s="2" t="s">
        <v>822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837</v>
      </c>
      <c r="B914" s="2" t="s">
        <v>822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838</v>
      </c>
      <c r="B915" s="2" t="s">
        <v>822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839</v>
      </c>
      <c r="B916" s="2" t="s">
        <v>822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840</v>
      </c>
      <c r="B917" s="2" t="s">
        <v>822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841</v>
      </c>
      <c r="B918" s="2" t="s">
        <v>822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842</v>
      </c>
      <c r="B919" s="2" t="s">
        <v>822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843</v>
      </c>
      <c r="B920" s="2" t="s">
        <v>822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844</v>
      </c>
      <c r="B921" s="2" t="s">
        <v>822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845</v>
      </c>
      <c r="B922" s="2" t="s">
        <v>822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2"/>
      <c r="K922" s="2" t="s">
        <v>11</v>
      </c>
    </row>
    <row r="923" spans="1:11" x14ac:dyDescent="0.3">
      <c r="A923" s="2" t="s">
        <v>945</v>
      </c>
      <c r="B923" s="2" t="s">
        <v>822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 t="s">
        <v>946</v>
      </c>
      <c r="I923" s="3" t="b">
        <v>0</v>
      </c>
      <c r="J923" s="2"/>
      <c r="K923" s="2" t="s">
        <v>11</v>
      </c>
    </row>
    <row r="924" spans="1:11" x14ac:dyDescent="0.3">
      <c r="A924" s="2" t="s">
        <v>846</v>
      </c>
      <c r="B924" s="2" t="s">
        <v>822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847</v>
      </c>
      <c r="B925" s="2" t="s">
        <v>822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848</v>
      </c>
      <c r="B926" s="2" t="s">
        <v>822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849</v>
      </c>
      <c r="B927" s="2" t="s">
        <v>822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850</v>
      </c>
      <c r="B928" s="2" t="s">
        <v>822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851</v>
      </c>
      <c r="B929" s="2" t="s">
        <v>822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852</v>
      </c>
      <c r="B930" s="2" t="s">
        <v>822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735</v>
      </c>
      <c r="B931" s="2" t="s">
        <v>822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853</v>
      </c>
      <c r="B932" s="2" t="s">
        <v>822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854</v>
      </c>
      <c r="B933" s="2" t="s">
        <v>822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855</v>
      </c>
      <c r="B934" s="2" t="s">
        <v>822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856</v>
      </c>
      <c r="B935" s="2" t="s">
        <v>822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857</v>
      </c>
      <c r="B936" s="2" t="s">
        <v>822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858</v>
      </c>
      <c r="B937" s="2" t="s">
        <v>822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859</v>
      </c>
      <c r="B938" s="2" t="s">
        <v>822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860</v>
      </c>
      <c r="B939" s="2" t="s">
        <v>822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861</v>
      </c>
      <c r="B940" s="2" t="s">
        <v>822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862</v>
      </c>
      <c r="B941" s="2" t="s">
        <v>822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863</v>
      </c>
      <c r="B942" s="2" t="s">
        <v>822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864</v>
      </c>
      <c r="B943" s="2" t="s">
        <v>822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865</v>
      </c>
      <c r="B944" s="2" t="s">
        <v>822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866</v>
      </c>
      <c r="B945" s="2" t="s">
        <v>822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867</v>
      </c>
      <c r="B946" s="2" t="s">
        <v>822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  <row r="947" spans="1:11" x14ac:dyDescent="0.3">
      <c r="A947" s="2" t="s">
        <v>868</v>
      </c>
      <c r="B947" s="2" t="s">
        <v>822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2"/>
      <c r="K947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873</v>
      </c>
    </row>
    <row r="2" spans="1:6" x14ac:dyDescent="0.3">
      <c r="A2" t="s">
        <v>95</v>
      </c>
      <c r="B2">
        <f>COUNTIF(Certifications!$B$2:$B$5006, Statistics!$A2)</f>
        <v>64</v>
      </c>
      <c r="C2">
        <f>COUNTIFS(Certifications!$B$2:$B$5006, Statistics!$A2,
          Certifications!$D$2:$D$5006, TRUE)</f>
        <v>3</v>
      </c>
      <c r="D2">
        <f>COUNTIFS(Certifications!$B$2:$B$5006, Statistics!$A2,
          Certifications!$E$2:$E$5006, TRUE)</f>
        <v>2</v>
      </c>
      <c r="E2">
        <f>COUNTIFS(Certifications!$B$2:$B$5006, Statistics!$A2,
          Certifications!$F$2:$F$5006, TRUE)</f>
        <v>4</v>
      </c>
      <c r="F2">
        <f>COUNTIFS(Certifications!$B$2:$B$5006, Statistics!$A2,
          Certifications!$G$2:$G$5006, TRUE)</f>
        <v>0</v>
      </c>
    </row>
    <row r="3" spans="1:6" x14ac:dyDescent="0.3">
      <c r="A3" t="s">
        <v>257</v>
      </c>
      <c r="B3">
        <f>COUNTIF(Certifications!$B$2:$B$5006, Statistics!$A3)</f>
        <v>61</v>
      </c>
      <c r="C3">
        <f>COUNTIFS(Certifications!$B$2:$B$5006, Statistics!$A3,
          Certifications!$D$2:$D$5006, TRUE)</f>
        <v>2</v>
      </c>
      <c r="D3">
        <f>COUNTIFS(Certifications!$B$2:$B$5006, Statistics!$A3,
          Certifications!$E$2:$E$5006, TRUE)</f>
        <v>2</v>
      </c>
      <c r="E3">
        <f>COUNTIFS(Certifications!$B$2:$B$5006, Statistics!$A3,
          Certifications!$F$2:$F$5006, TRUE)</f>
        <v>9</v>
      </c>
      <c r="F3">
        <f>COUNTIFS(Certifications!$B$2:$B$5006, Statistics!$A3,
          Certifications!$G$2:$G$5006, TRUE)</f>
        <v>0</v>
      </c>
    </row>
    <row r="4" spans="1:6" x14ac:dyDescent="0.3">
      <c r="A4" t="s">
        <v>544</v>
      </c>
      <c r="B4">
        <f>COUNTIF(Certifications!$B$2:$B$5006, Statistics!$A4)</f>
        <v>54</v>
      </c>
      <c r="C4">
        <f>COUNTIFS(Certifications!$B$2:$B$5006, Statistics!$A4,
          Certifications!$D$2:$D$5006, TRUE)</f>
        <v>0</v>
      </c>
      <c r="D4">
        <f>COUNTIFS(Certifications!$B$2:$B$5006, Statistics!$A4,
          Certifications!$E$2:$E$5006, TRUE)</f>
        <v>0</v>
      </c>
      <c r="E4">
        <f>COUNTIFS(Certifications!$B$2:$B$5006, Statistics!$A4,
          Certifications!$F$2:$F$5006, TRUE)</f>
        <v>0</v>
      </c>
      <c r="F4">
        <f>COUNTIFS(Certifications!$B$2:$B$5006, Statistics!$A4,
          Certifications!$G$2:$G$5006, TRUE)</f>
        <v>0</v>
      </c>
    </row>
    <row r="5" spans="1:6" x14ac:dyDescent="0.3">
      <c r="A5" t="s">
        <v>598</v>
      </c>
      <c r="B5">
        <f>COUNTIF(Certifications!$B$2:$B$5006, Statistics!$A5)</f>
        <v>51</v>
      </c>
      <c r="C5">
        <f>COUNTIFS(Certifications!$B$2:$B$5006, Statistics!$A5,
          Certifications!$D$2:$D$5006, TRUE)</f>
        <v>5</v>
      </c>
      <c r="D5">
        <f>COUNTIFS(Certifications!$B$2:$B$5006, Statistics!$A5,
          Certifications!$E$2:$E$5006, TRUE)</f>
        <v>0</v>
      </c>
      <c r="E5">
        <f>COUNTIFS(Certifications!$B$2:$B$5006, Statistics!$A5,
          Certifications!$F$2:$F$5006, TRUE)</f>
        <v>0</v>
      </c>
      <c r="F5">
        <f>COUNTIFS(Certifications!$B$2:$B$5006, Statistics!$A5,
          Certifications!$G$2:$G$5006, TRUE)</f>
        <v>0</v>
      </c>
    </row>
    <row r="6" spans="1:6" x14ac:dyDescent="0.3">
      <c r="A6" t="s">
        <v>497</v>
      </c>
      <c r="B6">
        <f>COUNTIF(Certifications!$B$2:$B$5006, Statistics!$A6)</f>
        <v>51</v>
      </c>
      <c r="C6">
        <f>COUNTIFS(Certifications!$B$2:$B$5006, Statistics!$A6,
          Certifications!$D$2:$D$5006, TRUE)</f>
        <v>0</v>
      </c>
      <c r="D6">
        <f>COUNTIFS(Certifications!$B$2:$B$5006, Statistics!$A6,
          Certifications!$E$2:$E$5006, TRUE)</f>
        <v>0</v>
      </c>
      <c r="E6">
        <f>COUNTIFS(Certifications!$B$2:$B$5006, Statistics!$A6,
          Certifications!$F$2:$F$5006, TRUE)</f>
        <v>0</v>
      </c>
      <c r="F6">
        <f>COUNTIFS(Certifications!$B$2:$B$5006, Statistics!$A6,
          Certifications!$G$2:$G$5006, TRUE)</f>
        <v>0</v>
      </c>
    </row>
    <row r="7" spans="1:6" x14ac:dyDescent="0.3">
      <c r="A7" t="s">
        <v>155</v>
      </c>
      <c r="B7">
        <f>COUNTIF(Certifications!$B$2:$B$5006, Statistics!$A7)</f>
        <v>51</v>
      </c>
      <c r="C7">
        <f>COUNTIFS(Certifications!$B$2:$B$5006, Statistics!$A7,
          Certifications!$D$2:$D$5006, TRUE)</f>
        <v>0</v>
      </c>
      <c r="D7">
        <f>COUNTIFS(Certifications!$B$2:$B$5006, Statistics!$A7,
          Certifications!$E$2:$E$5006, TRUE)</f>
        <v>0</v>
      </c>
      <c r="E7">
        <f>COUNTIFS(Certifications!$B$2:$B$5006, Statistics!$A7,
          Certifications!$F$2:$F$5006, TRUE)</f>
        <v>0</v>
      </c>
      <c r="F7">
        <f>COUNTIFS(Certifications!$B$2:$B$5006, Statistics!$A7,
          Certifications!$G$2:$G$5006, TRUE)</f>
        <v>0</v>
      </c>
    </row>
    <row r="8" spans="1:6" x14ac:dyDescent="0.3">
      <c r="A8" t="s">
        <v>696</v>
      </c>
      <c r="B8">
        <f>COUNTIF(Certifications!$B$2:$B$5006, Statistics!$A8)</f>
        <v>51</v>
      </c>
      <c r="C8">
        <f>COUNTIFS(Certifications!$B$2:$B$5006, Statistics!$A8,
          Certifications!$D$2:$D$5006, TRUE)</f>
        <v>0</v>
      </c>
      <c r="D8">
        <f>COUNTIFS(Certifications!$B$2:$B$5006, Statistics!$A8,
          Certifications!$E$2:$E$5006, TRUE)</f>
        <v>0</v>
      </c>
      <c r="E8">
        <f>COUNTIFS(Certifications!$B$2:$B$5006, Statistics!$A8,
          Certifications!$F$2:$F$5006, TRUE)</f>
        <v>2</v>
      </c>
      <c r="F8">
        <f>COUNTIFS(Certifications!$B$2:$B$5006, Statistics!$A8,
          Certifications!$G$2:$G$5006, TRUE)</f>
        <v>0</v>
      </c>
    </row>
    <row r="9" spans="1:6" x14ac:dyDescent="0.3">
      <c r="A9" t="s">
        <v>44</v>
      </c>
      <c r="B9">
        <f>COUNTIF(Certifications!$B$2:$B$5006, Statistics!$A9)</f>
        <v>50</v>
      </c>
      <c r="C9">
        <f>COUNTIFS(Certifications!$B$2:$B$5006, Statistics!$A9,
          Certifications!$D$2:$D$5006, TRUE)</f>
        <v>0</v>
      </c>
      <c r="D9">
        <f>COUNTIFS(Certifications!$B$2:$B$5006, Statistics!$A9,
          Certifications!$E$2:$E$5006, TRUE)</f>
        <v>0</v>
      </c>
      <c r="E9">
        <f>COUNTIFS(Certifications!$B$2:$B$5006, Statistics!$A9,
          Certifications!$F$2:$F$5006, TRUE)</f>
        <v>0</v>
      </c>
      <c r="F9">
        <f>COUNTIFS(Certifications!$B$2:$B$5006, Statistics!$A9,
          Certifications!$G$2:$G$5006, TRUE)</f>
        <v>0</v>
      </c>
    </row>
    <row r="10" spans="1:6" x14ac:dyDescent="0.3">
      <c r="A10" s="2" t="s">
        <v>880</v>
      </c>
      <c r="B10">
        <f>COUNTIF(Certifications!$B$2:$B$5006, Statistics!$A10)</f>
        <v>0</v>
      </c>
      <c r="C10">
        <f>COUNTIFS(Certifications!$B$2:$B$5006, Statistics!$A10,
          Certifications!$D$2:$D$5006, TRUE)</f>
        <v>0</v>
      </c>
      <c r="D10">
        <f>COUNTIFS(Certifications!$B$2:$B$5006, Statistics!$A10,
          Certifications!$E$2:$E$5006, TRUE)</f>
        <v>0</v>
      </c>
      <c r="E10">
        <f>COUNTIFS(Certifications!$B$2:$B$5006, Statistics!$A10,
          Certifications!$F$2:$F$5006, TRUE)</f>
        <v>0</v>
      </c>
      <c r="F10">
        <f>COUNTIFS(Certifications!$B$2:$B$5006, Statistics!$A10,
          Certifications!$G$2:$G$5006, TRUE)</f>
        <v>0</v>
      </c>
    </row>
    <row r="11" spans="1:6" x14ac:dyDescent="0.3">
      <c r="A11" t="s">
        <v>207</v>
      </c>
      <c r="B11">
        <f>COUNTIF(Certifications!$B$2:$B$5006, Statistics!$A11)</f>
        <v>50</v>
      </c>
      <c r="C11">
        <f>COUNTIFS(Certifications!$B$2:$B$5006, Statistics!$A11,
          Certifications!$D$2:$D$5006, TRUE)</f>
        <v>0</v>
      </c>
      <c r="D11">
        <f>COUNTIFS(Certifications!$B$2:$B$5006, Statistics!$A11,
          Certifications!$E$2:$E$5006, TRUE)</f>
        <v>0</v>
      </c>
      <c r="E11">
        <f>COUNTIFS(Certifications!$B$2:$B$5006, Statistics!$A11,
          Certifications!$F$2:$F$5006, TRUE)</f>
        <v>0</v>
      </c>
      <c r="F11">
        <f>COUNTIFS(Certifications!$B$2:$B$5006, Statistics!$A11,
          Certifications!$G$2:$G$5006, TRUE)</f>
        <v>0</v>
      </c>
    </row>
    <row r="12" spans="1:6" x14ac:dyDescent="0.3">
      <c r="A12" t="s">
        <v>647</v>
      </c>
      <c r="B12">
        <f>COUNTIF(Certifications!$B$2:$B$5006, Statistics!$A12)</f>
        <v>53</v>
      </c>
      <c r="C12">
        <f>COUNTIFS(Certifications!$B$2:$B$5006, Statistics!$A12,
          Certifications!$D$2:$D$5006, TRUE)</f>
        <v>1</v>
      </c>
      <c r="D12">
        <f>COUNTIFS(Certifications!$B$2:$B$5006, Statistics!$A12,
          Certifications!$E$2:$E$5006, TRUE)</f>
        <v>1</v>
      </c>
      <c r="E12">
        <f>COUNTIFS(Certifications!$B$2:$B$5006, Statistics!$A12,
          Certifications!$F$2:$F$5006, TRUE)</f>
        <v>2</v>
      </c>
      <c r="F12">
        <f>COUNTIFS(Certifications!$B$2:$B$5006, Statistics!$A12,
          Certifications!$G$2:$G$5006, TRUE)</f>
        <v>0</v>
      </c>
    </row>
    <row r="13" spans="1:6" x14ac:dyDescent="0.3">
      <c r="A13" t="s">
        <v>746</v>
      </c>
      <c r="B13">
        <f>COUNTIF(Certifications!$B$2:$B$5006, Statistics!$A13)</f>
        <v>50</v>
      </c>
      <c r="C13">
        <f>COUNTIFS(Certifications!$B$2:$B$5006, Statistics!$A13,
          Certifications!$D$2:$D$5006, TRUE)</f>
        <v>0</v>
      </c>
      <c r="D13">
        <f>COUNTIFS(Certifications!$B$2:$B$5006, Statistics!$A13,
          Certifications!$E$2:$E$5006, TRUE)</f>
        <v>0</v>
      </c>
      <c r="E13">
        <f>COUNTIFS(Certifications!$B$2:$B$5006, Statistics!$A13,
          Certifications!$F$2:$F$5006, TRUE)</f>
        <v>0</v>
      </c>
      <c r="F13">
        <f>COUNTIFS(Certifications!$B$2:$B$5006, Statistics!$A13,
          Certifications!$G$2:$G$5006, TRUE)</f>
        <v>0</v>
      </c>
    </row>
    <row r="14" spans="1:6" x14ac:dyDescent="0.3">
      <c r="A14" t="s">
        <v>822</v>
      </c>
      <c r="B14">
        <f>COUNTIF(Certifications!$B$2:$B$5006, Statistics!$A14)</f>
        <v>49</v>
      </c>
      <c r="C14">
        <f>COUNTIFS(Certifications!$B$2:$B$5006, Statistics!$A14,
          Certifications!$D$2:$D$5006, TRUE)</f>
        <v>0</v>
      </c>
      <c r="D14">
        <f>COUNTIFS(Certifications!$B$2:$B$5006, Statistics!$A14,
          Certifications!$E$2:$E$5006, TRUE)</f>
        <v>0</v>
      </c>
      <c r="E14">
        <f>COUNTIFS(Certifications!$B$2:$B$5006, Statistics!$A14,
          Certifications!$F$2:$F$5006, TRUE)</f>
        <v>0</v>
      </c>
      <c r="F14">
        <f>COUNTIFS(Certifications!$B$2:$B$5006, Statistics!$A14,
          Certifications!$G$2:$G$5006, TRUE)</f>
        <v>0</v>
      </c>
    </row>
    <row r="15" spans="1:6" x14ac:dyDescent="0.3">
      <c r="A15" t="s">
        <v>311</v>
      </c>
      <c r="B15">
        <f>COUNTIF(Certifications!$B$2:$B$5006, Statistics!$A15)</f>
        <v>49</v>
      </c>
      <c r="C15">
        <f>COUNTIFS(Certifications!$B$2:$B$5006, Statistics!$A15,
          Certifications!$D$2:$D$5006, TRUE)</f>
        <v>0</v>
      </c>
      <c r="D15">
        <f>COUNTIFS(Certifications!$B$2:$B$5006, Statistics!$A15,
          Certifications!$E$2:$E$5006, TRUE)</f>
        <v>0</v>
      </c>
      <c r="E15">
        <f>COUNTIFS(Certifications!$B$2:$B$5006, Statistics!$A15,
          Certifications!$F$2:$F$5006, TRUE)</f>
        <v>0</v>
      </c>
      <c r="F15">
        <f>COUNTIFS(Certifications!$B$2:$B$5006, Statistics!$A15,
          Certifications!$G$2:$G$5006, TRUE)</f>
        <v>0</v>
      </c>
    </row>
    <row r="16" spans="1:6" x14ac:dyDescent="0.3">
      <c r="A16" t="s">
        <v>449</v>
      </c>
      <c r="B16">
        <f>COUNTIF(Certifications!$B$2:$B$5006, Statistics!$A16)</f>
        <v>48</v>
      </c>
      <c r="C16">
        <f>COUNTIFS(Certifications!$B$2:$B$5006, Statistics!$A16,
          Certifications!$D$2:$D$5006, TRUE)</f>
        <v>0</v>
      </c>
      <c r="D16">
        <f>COUNTIFS(Certifications!$B$2:$B$5006, Statistics!$A16,
          Certifications!$E$2:$E$5006, TRUE)</f>
        <v>0</v>
      </c>
      <c r="E16">
        <f>COUNTIFS(Certifications!$B$2:$B$5006, Statistics!$A16,
          Certifications!$F$2:$F$5006, TRUE)</f>
        <v>0</v>
      </c>
      <c r="F16">
        <f>COUNTIFS(Certifications!$B$2:$B$5006, Statistics!$A16,
          Certifications!$G$2:$G$5006, TRUE)</f>
        <v>0</v>
      </c>
    </row>
    <row r="17" spans="1:6" x14ac:dyDescent="0.3">
      <c r="A17" t="s">
        <v>775</v>
      </c>
      <c r="B17">
        <f>COUNTIF(Certifications!$B$2:$B$5006, Statistics!$A17)</f>
        <v>46</v>
      </c>
      <c r="C17">
        <f>COUNTIFS(Certifications!$B$2:$B$5006, Statistics!$A17,
          Certifications!$D$2:$D$5006, TRUE)</f>
        <v>0</v>
      </c>
      <c r="D17">
        <f>COUNTIFS(Certifications!$B$2:$B$5006, Statistics!$A17,
          Certifications!$E$2:$E$5006, TRUE)</f>
        <v>0</v>
      </c>
      <c r="E17">
        <f>COUNTIFS(Certifications!$B$2:$B$5006, Statistics!$A17,
          Certifications!$F$2:$F$5006, TRUE)</f>
        <v>0</v>
      </c>
      <c r="F17">
        <f>COUNTIFS(Certifications!$B$2:$B$5006, Statistics!$A17,
          Certifications!$G$2:$G$5006, TRUE)</f>
        <v>0</v>
      </c>
    </row>
    <row r="18" spans="1:6" x14ac:dyDescent="0.3">
      <c r="A18" t="s">
        <v>361</v>
      </c>
      <c r="B18">
        <f>COUNTIF(Certifications!$B$2:$B$5006, Statistics!$A18)</f>
        <v>46</v>
      </c>
      <c r="C18">
        <f>COUNTIFS(Certifications!$B$2:$B$5006, Statistics!$A18,
          Certifications!$D$2:$D$5006, TRUE)</f>
        <v>0</v>
      </c>
      <c r="D18">
        <f>COUNTIFS(Certifications!$B$2:$B$5006, Statistics!$A18,
          Certifications!$E$2:$E$5006, TRUE)</f>
        <v>0</v>
      </c>
      <c r="E18">
        <f>COUNTIFS(Certifications!$B$2:$B$5006, Statistics!$A18,
          Certifications!$F$2:$F$5006, TRUE)</f>
        <v>0</v>
      </c>
      <c r="F18">
        <f>COUNTIFS(Certifications!$B$2:$B$5006, Statistics!$A18,
          Certifications!$G$2:$G$5006, TRUE)</f>
        <v>1</v>
      </c>
    </row>
    <row r="19" spans="1:6" x14ac:dyDescent="0.3">
      <c r="A19" t="s">
        <v>10</v>
      </c>
      <c r="B19">
        <f>COUNTIF(Certifications!$B$2:$B$5006, Statistics!$A19)</f>
        <v>32</v>
      </c>
      <c r="C19">
        <f>COUNTIFS(Certifications!$B$2:$B$5006, Statistics!$A19,
          Certifications!$D$2:$D$5006, TRUE)</f>
        <v>0</v>
      </c>
      <c r="D19">
        <f>COUNTIFS(Certifications!$B$2:$B$5006, Statistics!$A19,
          Certifications!$E$2:$E$5006, TRUE)</f>
        <v>0</v>
      </c>
      <c r="E19">
        <f>COUNTIFS(Certifications!$B$2:$B$5006, Statistics!$A19,
          Certifications!$F$2:$F$5006, TRUE)</f>
        <v>0</v>
      </c>
      <c r="F19">
        <f>COUNTIFS(Certifications!$B$2:$B$5006, Statistics!$A19,
          Certifications!$G$2:$G$5006, TRUE)</f>
        <v>0</v>
      </c>
    </row>
    <row r="21" spans="1:6" x14ac:dyDescent="0.3">
      <c r="A21" s="6" t="s">
        <v>921</v>
      </c>
    </row>
    <row r="22" spans="1:6" x14ac:dyDescent="0.3">
      <c r="A22" t="s">
        <v>922</v>
      </c>
    </row>
    <row r="23" spans="1:6" x14ac:dyDescent="0.3">
      <c r="A23" t="s">
        <v>923</v>
      </c>
    </row>
    <row r="24" spans="1:6" x14ac:dyDescent="0.3">
      <c r="A24" t="s">
        <v>924</v>
      </c>
    </row>
    <row r="25" spans="1:6" x14ac:dyDescent="0.3">
      <c r="A25">
        <f>COUNTA(Certifications!$A$2:$A$5006)</f>
        <v>946</v>
      </c>
    </row>
    <row r="26" spans="1:6" x14ac:dyDescent="0.3">
      <c r="A26">
        <f ca="1">COUNTA(UNIQUE(Certifications!$B$2:$B$5006))</f>
        <v>1</v>
      </c>
    </row>
    <row r="27" spans="1:6" x14ac:dyDescent="0.3">
      <c r="A27" s="5">
        <f ca="1">NOW()</f>
        <v>46074.414830787035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2026-02-21T14:57:43Z</dcterms:modified>
</cp:coreProperties>
</file>